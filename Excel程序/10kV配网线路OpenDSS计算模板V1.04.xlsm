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ysyw\Desktop\"/>
    </mc:Choice>
  </mc:AlternateContent>
  <xr:revisionPtr revIDLastSave="0" documentId="8_{19880742-E71C-49E5-AC26-8F74904AB4D9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主页" sheetId="11" r:id="rId1"/>
    <sheet name="OpenDSS脚本指令集" sheetId="20" state="hidden" r:id="rId2"/>
    <sheet name="运行单位信息" sheetId="17" state="hidden" r:id="rId3"/>
    <sheet name="OpenDSS规则库" sheetId="14" state="hidden" r:id="rId4"/>
    <sheet name="线路参数库" sheetId="12" state="hidden" r:id="rId5"/>
    <sheet name="变压器参数库" sheetId="16" state="hidden" r:id="rId6"/>
    <sheet name="拓扑结构" sheetId="4" r:id="rId7"/>
    <sheet name="运行数据" sheetId="3" r:id="rId8"/>
    <sheet name="XY曲线库" sheetId="21" r:id="rId9"/>
    <sheet name="控制器" sheetId="19" r:id="rId10"/>
    <sheet name="计算结果" sheetId="15" r:id="rId11"/>
  </sheets>
  <functionGroups builtInGroupCount="19"/>
  <definedNames>
    <definedName name="_xlnm._FilterDatabase" localSheetId="3" hidden="1">OpenDSS规则库!#REF!</definedName>
    <definedName name="地市公司" localSheetId="8">运行单位信息!$A$2:$A$13</definedName>
    <definedName name="地市公司">运行单位信息!$A$2:$A$13</definedName>
    <definedName name="九江公司">运行单位信息!$C$2:$C$6</definedName>
    <definedName name="南昌公司">运行单位信息!$B$2:$B$4</definedName>
    <definedName name="配电变压器数据表关键字">主页!$B$27</definedName>
    <definedName name="配电变压器数据页名称">主页!$B$26</definedName>
    <definedName name="配电变压器所需参数">主页!$28:$28</definedName>
    <definedName name="配电线路数据表关键字">主页!$B$21</definedName>
    <definedName name="配电线路数据页名称">主页!$B$20</definedName>
    <definedName name="配电线路所需参数">主页!$22:$22</definedName>
    <definedName name="平衡节点数据表关键字">主页!$B$9</definedName>
    <definedName name="平衡节点数据页名称">主页!$B$8</definedName>
    <definedName name="平衡节点所需参数">主页!$10:$10</definedName>
    <definedName name="线路型号数据表关键字">主页!$B$15</definedName>
    <definedName name="线路型号数据页名称">主页!$B$14</definedName>
    <definedName name="线路型号所需参数">主页!$16:$16</definedName>
  </definedNames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4" l="1"/>
  <c r="C14" i="4"/>
  <c r="C15" i="4"/>
  <c r="C12" i="4"/>
  <c r="A93" i="16" l="1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  <c r="E2" i="11"/>
  <c r="E1" i="11"/>
  <c r="E3" i="11"/>
  <c r="K13" i="4" l="1"/>
  <c r="I14" i="4"/>
  <c r="K15" i="4"/>
  <c r="K14" i="4"/>
  <c r="H14" i="4"/>
  <c r="J13" i="4"/>
  <c r="H12" i="4"/>
  <c r="I12" i="4"/>
  <c r="J12" i="4"/>
  <c r="K12" i="4"/>
  <c r="H13" i="4"/>
  <c r="I13" i="4"/>
  <c r="J15" i="4"/>
  <c r="H15" i="4"/>
  <c r="I15" i="4"/>
  <c r="J14" i="4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" i="3"/>
  <c r="B5" i="4" l="1"/>
  <c r="M13" i="4" l="1"/>
  <c r="N13" i="4"/>
  <c r="M14" i="4"/>
  <c r="N14" i="4"/>
  <c r="M15" i="4"/>
  <c r="N15" i="4"/>
  <c r="N12" i="4"/>
  <c r="M12" i="4"/>
  <c r="Q13" i="4" l="1"/>
  <c r="Q14" i="4"/>
  <c r="Q15" i="4"/>
  <c r="P13" i="4"/>
  <c r="P14" i="4"/>
  <c r="P15" i="4"/>
  <c r="O13" i="4"/>
  <c r="O14" i="4"/>
  <c r="O15" i="4"/>
  <c r="P12" i="4"/>
  <c r="Q12" i="4"/>
  <c r="O1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<sst xmlns="http://schemas.openxmlformats.org/spreadsheetml/2006/main" count="1177" uniqueCount="445">
  <si>
    <t xml:space="preserve">正档位数 </t>
    <phoneticPr fontId="1" type="noConversion"/>
  </si>
  <si>
    <t>负档位数</t>
    <phoneticPr fontId="1" type="noConversion"/>
  </si>
  <si>
    <t>S9</t>
    <phoneticPr fontId="1" type="noConversion"/>
  </si>
  <si>
    <t>时间</t>
    <phoneticPr fontId="1" type="noConversion"/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</si>
  <si>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</si>
  <si>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</si>
  <si>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</si>
  <si>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</si>
  <si>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</si>
  <si>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</si>
  <si>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</si>
  <si>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</si>
  <si>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</si>
  <si>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</si>
  <si>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</si>
  <si>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</si>
  <si>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T3</t>
    <phoneticPr fontId="3" type="noConversion"/>
  </si>
  <si>
    <t>导线型号</t>
    <phoneticPr fontId="14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</si>
  <si>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</si>
  <si>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</si>
  <si>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</si>
  <si>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</si>
  <si>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r>
      <t>单位电阻(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</si>
  <si>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r>
      <t>单位电抗(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</si>
  <si>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</si>
  <si>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</si>
  <si>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</si>
  <si>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</si>
  <si>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</si>
  <si>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</si>
  <si>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是否专变</t>
    <phoneticPr fontId="1" type="noConversion"/>
  </si>
  <si>
    <t>短路电压百分比(%)</t>
    <phoneticPr fontId="1" type="noConversion"/>
  </si>
  <si>
    <t>空载电流百分比(%)</t>
    <phoneticPr fontId="1" type="noConversion"/>
  </si>
  <si>
    <t>每档百分比(%)</t>
    <phoneticPr fontId="1" type="noConversion"/>
  </si>
  <si>
    <t>最大档位</t>
    <phoneticPr fontId="1" type="noConversion"/>
  </si>
  <si>
    <t>最小档位</t>
    <phoneticPr fontId="1" type="noConversion"/>
  </si>
  <si>
    <t>档位数量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</si>
  <si>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</si>
  <si>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</si>
  <si>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</si>
  <si>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</si>
  <si>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</si>
  <si>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</si>
  <si>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平衡节点</t>
    <phoneticPr fontId="3" type="noConversion"/>
  </si>
  <si>
    <t>线段名称</t>
    <phoneticPr fontId="3" type="noConversion"/>
  </si>
  <si>
    <t>变压器名称</t>
    <phoneticPr fontId="3" type="noConversion"/>
  </si>
  <si>
    <t>线段名称</t>
  </si>
  <si>
    <t>线段头母线</t>
  </si>
  <si>
    <t>线段尾母线</t>
  </si>
  <si>
    <t>bus2</t>
  </si>
  <si>
    <t>高压侧母线</t>
  </si>
  <si>
    <t>低压侧母线</t>
  </si>
  <si>
    <t>变压器名称</t>
  </si>
  <si>
    <t>所需参数</t>
    <phoneticPr fontId="14" type="noConversion"/>
  </si>
  <si>
    <t>线路型号输入表</t>
    <phoneticPr fontId="14" type="noConversion"/>
  </si>
  <si>
    <t>数据页名称</t>
    <phoneticPr fontId="14" type="noConversion"/>
  </si>
  <si>
    <t>配电线路输入表</t>
    <phoneticPr fontId="14" type="noConversion"/>
  </si>
  <si>
    <t>线路型号</t>
  </si>
  <si>
    <t>线路长度(km)</t>
  </si>
  <si>
    <t>数据表关键字</t>
    <phoneticPr fontId="14" type="noConversion"/>
  </si>
  <si>
    <t>配电变压器输入表</t>
    <phoneticPr fontId="14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</si>
  <si>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</si>
  <si>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</si>
  <si>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</si>
  <si>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</si>
  <si>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</si>
  <si>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空载损耗(%)</t>
  </si>
  <si>
    <t>负载损耗(%)</t>
  </si>
  <si>
    <t>平衡节点输入表</t>
    <phoneticPr fontId="14" type="noConversion"/>
  </si>
  <si>
    <t>平衡节点</t>
    <phoneticPr fontId="14" type="noConversion"/>
  </si>
  <si>
    <t>LoadShape</t>
    <phoneticPr fontId="14" type="noConversion"/>
  </si>
  <si>
    <t>R1</t>
    <phoneticPr fontId="14" type="noConversion"/>
  </si>
  <si>
    <t>X1</t>
    <phoneticPr fontId="14" type="noConversion"/>
  </si>
  <si>
    <t>.</t>
    <phoneticPr fontId="14" type="noConversion"/>
  </si>
  <si>
    <t>=</t>
    <phoneticPr fontId="14" type="noConversion"/>
  </si>
  <si>
    <t>OpenDSS单元名称</t>
    <phoneticPr fontId="14" type="noConversion"/>
  </si>
  <si>
    <t>OpenDSS操作符</t>
    <phoneticPr fontId="14" type="noConversion"/>
  </si>
  <si>
    <t>OpenDSS左限定符</t>
    <phoneticPr fontId="14" type="noConversion"/>
  </si>
  <si>
    <t>OpenDSS右限定符</t>
    <phoneticPr fontId="14" type="noConversion"/>
  </si>
  <si>
    <t>规则定义</t>
    <phoneticPr fontId="14" type="noConversion"/>
  </si>
  <si>
    <t>OpenDSS关联单元</t>
    <phoneticPr fontId="14" type="noConversion"/>
  </si>
  <si>
    <t>单位电阻(Ω/km)</t>
  </si>
  <si>
    <t>单位电抗(Ω/km)</t>
  </si>
  <si>
    <t>bus1</t>
    <phoneticPr fontId="14" type="noConversion"/>
  </si>
  <si>
    <t>Length</t>
  </si>
  <si>
    <t>Line</t>
    <phoneticPr fontId="14" type="noConversion"/>
  </si>
  <si>
    <t>最大档位</t>
  </si>
  <si>
    <t>最小档位</t>
  </si>
  <si>
    <t>档位数量</t>
  </si>
  <si>
    <t>Buses</t>
    <phoneticPr fontId="14" type="noConversion"/>
  </si>
  <si>
    <t>(</t>
    <phoneticPr fontId="14" type="noConversion"/>
  </si>
  <si>
    <t>)</t>
    <phoneticPr fontId="14" type="noConversion"/>
  </si>
  <si>
    <t>KVAs</t>
    <phoneticPr fontId="14" type="noConversion"/>
  </si>
  <si>
    <t>KVs</t>
    <phoneticPr fontId="14" type="noConversion"/>
  </si>
  <si>
    <t>XHL</t>
    <phoneticPr fontId="14" type="noConversion"/>
  </si>
  <si>
    <t>%noloadloss</t>
    <phoneticPr fontId="14" type="noConversion"/>
  </si>
  <si>
    <t>%loadloss</t>
    <phoneticPr fontId="14" type="noConversion"/>
  </si>
  <si>
    <t>%imag</t>
    <phoneticPr fontId="14" type="noConversion"/>
  </si>
  <si>
    <t>MaxTap</t>
    <phoneticPr fontId="14" type="noConversion"/>
  </si>
  <si>
    <t>MinTap</t>
    <phoneticPr fontId="14" type="noConversion"/>
  </si>
  <si>
    <t>NumTaps</t>
    <phoneticPr fontId="14" type="noConversion"/>
  </si>
  <si>
    <t>负荷曲线对象</t>
    <phoneticPr fontId="14" type="noConversion"/>
  </si>
  <si>
    <t>LineCode</t>
    <phoneticPr fontId="14" type="noConversion"/>
  </si>
  <si>
    <t>有功功率(kW)</t>
    <phoneticPr fontId="1" type="noConversion"/>
  </si>
  <si>
    <t>无功功率(kvar)</t>
    <phoneticPr fontId="1" type="noConversion"/>
  </si>
  <si>
    <t>pmult</t>
    <phoneticPr fontId="14" type="noConversion"/>
  </si>
  <si>
    <t>qmult</t>
    <phoneticPr fontId="14" type="noConversion"/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</si>
  <si>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</si>
  <si>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</si>
  <si>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</si>
  <si>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4" type="noConversion"/>
  </si>
  <si>
    <t>qbase</t>
    <phoneticPr fontId="14" type="noConversion"/>
  </si>
  <si>
    <t>动作</t>
    <phoneticPr fontId="14" type="noConversion"/>
  </si>
  <si>
    <t>Action</t>
    <phoneticPr fontId="14" type="noConversion"/>
  </si>
  <si>
    <t>电压曲线对象</t>
    <phoneticPr fontId="14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</si>
  <si>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</si>
  <si>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</si>
  <si>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</si>
  <si>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4" type="noConversion"/>
  </si>
  <si>
    <t>Load</t>
    <phoneticPr fontId="14" type="noConversion"/>
  </si>
  <si>
    <t>负荷名称</t>
    <phoneticPr fontId="1" type="noConversion"/>
  </si>
  <si>
    <t>额定电压(kV)</t>
    <phoneticPr fontId="1" type="noConversion"/>
  </si>
  <si>
    <t>Kv</t>
    <phoneticPr fontId="14" type="noConversion"/>
  </si>
  <si>
    <t>额定有功(kW)</t>
    <phoneticPr fontId="14" type="noConversion"/>
  </si>
  <si>
    <t>Kw</t>
    <phoneticPr fontId="14" type="noConversion"/>
  </si>
  <si>
    <t>功率因数</t>
    <phoneticPr fontId="14" type="noConversion"/>
  </si>
  <si>
    <t>Pf</t>
    <phoneticPr fontId="14" type="noConversion"/>
  </si>
  <si>
    <t>额定无功(kvar)</t>
    <phoneticPr fontId="14" type="noConversion"/>
  </si>
  <si>
    <t>kvar</t>
    <phoneticPr fontId="14" type="noConversion"/>
  </si>
  <si>
    <t>日负荷曲线</t>
    <phoneticPr fontId="14" type="noConversion"/>
  </si>
  <si>
    <t>Daily</t>
    <phoneticPr fontId="14" type="noConversion"/>
  </si>
  <si>
    <t>发电机对象</t>
    <phoneticPr fontId="14" type="noConversion"/>
  </si>
  <si>
    <t>Generator</t>
    <phoneticPr fontId="14" type="noConversion"/>
  </si>
  <si>
    <t>发电机名称</t>
    <phoneticPr fontId="1" type="noConversion"/>
  </si>
  <si>
    <t>发电机模型</t>
    <phoneticPr fontId="14" type="noConversion"/>
  </si>
  <si>
    <t>Model</t>
    <phoneticPr fontId="14" type="noConversion"/>
  </si>
  <si>
    <t>电压曲线名称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</si>
  <si>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</si>
  <si>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</si>
  <si>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</si>
  <si>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</si>
  <si>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</si>
  <si>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4" type="noConversion"/>
  </si>
  <si>
    <t>是</t>
    <phoneticPr fontId="14" type="noConversion"/>
  </si>
  <si>
    <t>运行数据</t>
    <phoneticPr fontId="14" type="noConversion"/>
  </si>
  <si>
    <t>电压曲线输入表</t>
    <phoneticPr fontId="14" type="noConversion"/>
  </si>
  <si>
    <t>电压曲线名称</t>
    <phoneticPr fontId="14" type="noConversion"/>
  </si>
  <si>
    <t>发电机输入表</t>
    <phoneticPr fontId="14" type="noConversion"/>
  </si>
  <si>
    <t>发电机名称</t>
    <phoneticPr fontId="14" type="noConversion"/>
  </si>
  <si>
    <t>线路型号对象</t>
    <phoneticPr fontId="14" type="noConversion"/>
  </si>
  <si>
    <t>连接母线</t>
    <phoneticPr fontId="1" type="noConversion"/>
  </si>
  <si>
    <t>电压基准(kV)</t>
    <phoneticPr fontId="3" type="noConversion"/>
  </si>
  <si>
    <t>数据个数</t>
    <phoneticPr fontId="3" type="noConversion"/>
  </si>
  <si>
    <t>时间间隔</t>
    <phoneticPr fontId="3" type="noConversion"/>
  </si>
  <si>
    <t>数据个数</t>
    <phoneticPr fontId="14" type="noConversion"/>
  </si>
  <si>
    <t>时间间隔</t>
    <phoneticPr fontId="14" type="noConversion"/>
  </si>
  <si>
    <t>npts</t>
    <phoneticPr fontId="14" type="noConversion"/>
  </si>
  <si>
    <t>=</t>
    <phoneticPr fontId="14" type="noConversion"/>
  </si>
  <si>
    <t>interval</t>
    <phoneticPr fontId="14" type="noConversion"/>
  </si>
  <si>
    <t>线段头母线</t>
    <phoneticPr fontId="14" type="noConversion"/>
  </si>
  <si>
    <t>发电机名称</t>
    <phoneticPr fontId="3" type="noConversion"/>
  </si>
  <si>
    <t>连接母线</t>
    <phoneticPr fontId="3" type="noConversion"/>
  </si>
  <si>
    <t>额定电压(kV)</t>
    <phoneticPr fontId="3" type="noConversion"/>
  </si>
  <si>
    <t>bus22</t>
    <phoneticPr fontId="3" type="noConversion"/>
  </si>
  <si>
    <t>线损输出表</t>
    <phoneticPr fontId="14" type="noConversion"/>
  </si>
  <si>
    <t>输出页名称</t>
    <phoneticPr fontId="14" type="noConversion"/>
  </si>
  <si>
    <t>计算结果</t>
    <phoneticPr fontId="14" type="noConversion"/>
  </si>
  <si>
    <t>是否输出图表</t>
    <phoneticPr fontId="14" type="noConversion"/>
  </si>
  <si>
    <t>变压器型号</t>
  </si>
  <si>
    <t>产品代号</t>
    <phoneticPr fontId="20" type="noConversion"/>
  </si>
  <si>
    <t>空载损耗(W)</t>
  </si>
  <si>
    <t>负载损耗(W)</t>
  </si>
  <si>
    <t>S7</t>
  </si>
  <si>
    <t>S9</t>
  </si>
  <si>
    <t>S11</t>
  </si>
  <si>
    <t>S13</t>
  </si>
  <si>
    <t>SH15</t>
  </si>
  <si>
    <t>线路参数库</t>
    <phoneticPr fontId="14" type="noConversion"/>
  </si>
  <si>
    <t>是</t>
    <phoneticPr fontId="14" type="noConversion"/>
  </si>
  <si>
    <t>地市供电公司</t>
    <phoneticPr fontId="14" type="noConversion"/>
  </si>
  <si>
    <t>南昌公司</t>
    <phoneticPr fontId="14" type="noConversion"/>
  </si>
  <si>
    <t>九江公司</t>
    <phoneticPr fontId="14" type="noConversion"/>
  </si>
  <si>
    <t>赣州公司</t>
    <phoneticPr fontId="14" type="noConversion"/>
  </si>
  <si>
    <t>赣西公司</t>
    <phoneticPr fontId="14" type="noConversion"/>
  </si>
  <si>
    <t>吉安公司</t>
    <phoneticPr fontId="14" type="noConversion"/>
  </si>
  <si>
    <t>萍乡公司</t>
    <phoneticPr fontId="14" type="noConversion"/>
  </si>
  <si>
    <t>宜春公司</t>
    <phoneticPr fontId="14" type="noConversion"/>
  </si>
  <si>
    <t>抚州公司</t>
    <phoneticPr fontId="14" type="noConversion"/>
  </si>
  <si>
    <t>赣东北公司</t>
    <phoneticPr fontId="14" type="noConversion"/>
  </si>
  <si>
    <t>上饶公司</t>
    <phoneticPr fontId="14" type="noConversion"/>
  </si>
  <si>
    <t>鹰潭公司</t>
    <phoneticPr fontId="14" type="noConversion"/>
  </si>
  <si>
    <t>景德镇公司</t>
    <phoneticPr fontId="14" type="noConversion"/>
  </si>
  <si>
    <t>地市供电公司：</t>
    <phoneticPr fontId="14" type="noConversion"/>
  </si>
  <si>
    <t>区县公司：</t>
    <phoneticPr fontId="14" type="noConversion"/>
  </si>
  <si>
    <t>供电所：</t>
    <phoneticPr fontId="14" type="noConversion"/>
  </si>
  <si>
    <t>配电线路名称：</t>
    <phoneticPr fontId="14" type="noConversion"/>
  </si>
  <si>
    <t>所属变电站：</t>
    <phoneticPr fontId="14" type="noConversion"/>
  </si>
  <si>
    <t>南昌公司所属</t>
    <phoneticPr fontId="14" type="noConversion"/>
  </si>
  <si>
    <t>新建县公司</t>
    <phoneticPr fontId="14" type="noConversion"/>
  </si>
  <si>
    <t>湾里区公司</t>
    <phoneticPr fontId="14" type="noConversion"/>
  </si>
  <si>
    <t>南昌县公司</t>
    <phoneticPr fontId="14" type="noConversion"/>
  </si>
  <si>
    <t>九江公司所属</t>
    <phoneticPr fontId="14" type="noConversion"/>
  </si>
  <si>
    <t>九江县公司</t>
    <phoneticPr fontId="14" type="noConversion"/>
  </si>
  <si>
    <t>修水县公司</t>
    <phoneticPr fontId="14" type="noConversion"/>
  </si>
  <si>
    <t>武宁县公司</t>
    <phoneticPr fontId="14" type="noConversion"/>
  </si>
  <si>
    <t>星子县公司</t>
    <phoneticPr fontId="14" type="noConversion"/>
  </si>
  <si>
    <t>永修县公司</t>
    <phoneticPr fontId="14" type="noConversion"/>
  </si>
  <si>
    <t>版权所有：</t>
    <phoneticPr fontId="14" type="noConversion"/>
  </si>
  <si>
    <t>作者：</t>
    <phoneticPr fontId="14" type="noConversion"/>
  </si>
  <si>
    <t>版本号：</t>
    <phoneticPr fontId="14" type="noConversion"/>
  </si>
  <si>
    <t>九江公司</t>
  </si>
  <si>
    <t>九江县公司</t>
  </si>
  <si>
    <t>T2</t>
    <phoneticPr fontId="3" type="noConversion"/>
  </si>
  <si>
    <t>T4</t>
    <phoneticPr fontId="3" type="noConversion"/>
  </si>
  <si>
    <t>PV_Summer</t>
    <phoneticPr fontId="3" type="noConversion"/>
  </si>
  <si>
    <t>日发电曲线</t>
    <phoneticPr fontId="14" type="noConversion"/>
  </si>
  <si>
    <t>发电曲线输入表</t>
    <phoneticPr fontId="14" type="noConversion"/>
  </si>
  <si>
    <t>发电曲线名称</t>
    <phoneticPr fontId="14" type="noConversion"/>
  </si>
  <si>
    <t>发电曲线名称</t>
    <phoneticPr fontId="3" type="noConversion"/>
  </si>
  <si>
    <t>发电曲线对象</t>
    <phoneticPr fontId="14" type="noConversion"/>
  </si>
  <si>
    <t>发电曲线名称</t>
    <phoneticPr fontId="1" type="noConversion"/>
  </si>
  <si>
    <t>Transformer</t>
    <phoneticPr fontId="14" type="noConversion"/>
  </si>
  <si>
    <t>拓扑结构</t>
  </si>
  <si>
    <t>配电线路对象</t>
    <phoneticPr fontId="14" type="noConversion"/>
  </si>
  <si>
    <t>配电变压器对象</t>
    <phoneticPr fontId="14" type="noConversion"/>
  </si>
  <si>
    <t>是</t>
    <phoneticPr fontId="3" type="noConversion"/>
  </si>
  <si>
    <t>总负荷曲线名称</t>
    <phoneticPr fontId="3" type="noConversion"/>
  </si>
  <si>
    <t>总负荷曲线对象</t>
    <phoneticPr fontId="14" type="noConversion"/>
  </si>
  <si>
    <t>总负荷曲线名称</t>
    <phoneticPr fontId="1" type="noConversion"/>
  </si>
  <si>
    <t>总负荷曲线输入表</t>
    <phoneticPr fontId="14" type="noConversion"/>
  </si>
  <si>
    <t>总负荷曲线名称</t>
    <phoneticPr fontId="14" type="noConversion"/>
  </si>
  <si>
    <t>电阻(Ω/km)</t>
    <phoneticPr fontId="1" type="noConversion"/>
  </si>
  <si>
    <t>电抗(Ω/km)</t>
    <phoneticPr fontId="1" type="noConversion"/>
  </si>
  <si>
    <t>线段名称</t>
    <phoneticPr fontId="14" type="noConversion"/>
  </si>
  <si>
    <t>线段尾母线</t>
    <phoneticPr fontId="14" type="noConversion"/>
  </si>
  <si>
    <t>线路型号</t>
    <phoneticPr fontId="14" type="noConversion"/>
  </si>
  <si>
    <t>线路长度(km)</t>
    <phoneticPr fontId="14" type="noConversion"/>
  </si>
  <si>
    <t>变压器名称</t>
    <phoneticPr fontId="14" type="noConversion"/>
  </si>
  <si>
    <t>高压侧母线</t>
    <phoneticPr fontId="14" type="noConversion"/>
  </si>
  <si>
    <t>低压侧母线</t>
    <phoneticPr fontId="14" type="noConversion"/>
  </si>
  <si>
    <t>变压器容量(kVA)</t>
    <phoneticPr fontId="14" type="noConversion"/>
  </si>
  <si>
    <t>高压侧额定电压(kV)</t>
    <phoneticPr fontId="14" type="noConversion"/>
  </si>
  <si>
    <t>低压侧额定电压(kV)</t>
    <phoneticPr fontId="14" type="noConversion"/>
  </si>
  <si>
    <t>短路电压百分比(%)</t>
    <phoneticPr fontId="14" type="noConversion"/>
  </si>
  <si>
    <t>空载电流百分比(%)</t>
    <phoneticPr fontId="14" type="noConversion"/>
  </si>
  <si>
    <t>是否专变</t>
    <phoneticPr fontId="14" type="noConversion"/>
  </si>
  <si>
    <t>空载损耗(%)</t>
    <phoneticPr fontId="14" type="noConversion"/>
  </si>
  <si>
    <t>负载损耗(%)</t>
    <phoneticPr fontId="14" type="noConversion"/>
  </si>
  <si>
    <t>关口电量kWh</t>
  </si>
  <si>
    <t>公变用电量kWh</t>
  </si>
  <si>
    <t>发电量kWh</t>
  </si>
  <si>
    <t>供电量kWh</t>
  </si>
  <si>
    <t>总损耗kWh</t>
  </si>
  <si>
    <t>负载损耗kWh</t>
  </si>
  <si>
    <t>空载损耗kWh</t>
  </si>
  <si>
    <t>线路损耗kWh</t>
  </si>
  <si>
    <t>变压器损耗kWh</t>
  </si>
  <si>
    <t>l1</t>
  </si>
  <si>
    <t>nc10kvbus</t>
  </si>
  <si>
    <t>bus1</t>
  </si>
  <si>
    <t>l2</t>
  </si>
  <si>
    <t>l3</t>
  </si>
  <si>
    <t>bus3</t>
  </si>
  <si>
    <t>l4</t>
  </si>
  <si>
    <t>bus21</t>
  </si>
  <si>
    <t>l5</t>
  </si>
  <si>
    <t>bus22</t>
  </si>
  <si>
    <t>t1</t>
  </si>
  <si>
    <t>t2</t>
  </si>
  <si>
    <t>t3</t>
  </si>
  <si>
    <t>t4</t>
  </si>
  <si>
    <t>总计</t>
  </si>
  <si>
    <t>母线名称</t>
  </si>
  <si>
    <t>sourcebus</t>
  </si>
  <si>
    <t>1 时</t>
  </si>
  <si>
    <t>2 时</t>
  </si>
  <si>
    <t>3 时</t>
  </si>
  <si>
    <t>4 时</t>
  </si>
  <si>
    <t>5 时</t>
  </si>
  <si>
    <t>6 时</t>
  </si>
  <si>
    <t>7 时</t>
  </si>
  <si>
    <t>8 时</t>
  </si>
  <si>
    <t>9 时</t>
  </si>
  <si>
    <t>10 时</t>
  </si>
  <si>
    <t>11 时</t>
  </si>
  <si>
    <t>12 时</t>
  </si>
  <si>
    <t>13 时</t>
  </si>
  <si>
    <t>14 时</t>
  </si>
  <si>
    <t>15 时</t>
  </si>
  <si>
    <t>16 时</t>
  </si>
  <si>
    <t>17 时</t>
  </si>
  <si>
    <t>18 时</t>
  </si>
  <si>
    <t>19 时</t>
  </si>
  <si>
    <t>20 时</t>
  </si>
  <si>
    <t>21 时</t>
  </si>
  <si>
    <t>22 时</t>
  </si>
  <si>
    <t>23 时</t>
  </si>
  <si>
    <t>0 时</t>
  </si>
  <si>
    <t>负荷名称</t>
  </si>
  <si>
    <t>发电机名称</t>
  </si>
  <si>
    <t>指标名称</t>
  </si>
  <si>
    <t>值</t>
  </si>
  <si>
    <t>时间</t>
  </si>
  <si>
    <t>母线</t>
  </si>
  <si>
    <t>最大渗透率</t>
  </si>
  <si>
    <t>最大有功负荷</t>
  </si>
  <si>
    <t>最小有功负荷</t>
  </si>
  <si>
    <t>最高电压</t>
  </si>
  <si>
    <t>最低电压</t>
  </si>
  <si>
    <t>线损率</t>
  </si>
  <si>
    <t>否</t>
    <phoneticPr fontId="3" type="noConversion"/>
  </si>
  <si>
    <t>XY曲线输入表</t>
    <phoneticPr fontId="14" type="noConversion"/>
  </si>
  <si>
    <t>曲线名称</t>
    <phoneticPr fontId="14" type="noConversion"/>
  </si>
  <si>
    <t>X值</t>
    <phoneticPr fontId="14" type="noConversion"/>
  </si>
  <si>
    <t>Y值</t>
    <phoneticPr fontId="14" type="noConversion"/>
  </si>
  <si>
    <t>XY曲线库</t>
    <phoneticPr fontId="14" type="noConversion"/>
  </si>
  <si>
    <t>XY曲线对象</t>
    <phoneticPr fontId="14" type="noConversion"/>
  </si>
  <si>
    <t>XYCurve</t>
    <phoneticPr fontId="14" type="noConversion"/>
  </si>
  <si>
    <t>曲线名称</t>
    <phoneticPr fontId="1" type="noConversion"/>
  </si>
  <si>
    <t>X值</t>
    <phoneticPr fontId="1" type="noConversion"/>
  </si>
  <si>
    <t>xarray</t>
    <phoneticPr fontId="14" type="noConversion"/>
  </si>
  <si>
    <t>yarray</t>
    <phoneticPr fontId="14" type="noConversion"/>
  </si>
  <si>
    <t>Y值</t>
    <phoneticPr fontId="1" type="noConversion"/>
  </si>
  <si>
    <t>PVst</t>
    <phoneticPr fontId="14" type="noConversion"/>
  </si>
  <si>
    <t>InvEff</t>
    <phoneticPr fontId="14" type="noConversion"/>
  </si>
  <si>
    <t>温度曲线输入表</t>
    <phoneticPr fontId="14" type="noConversion"/>
  </si>
  <si>
    <t>温度曲线名称</t>
    <phoneticPr fontId="14" type="noConversion"/>
  </si>
  <si>
    <t>摄氏度</t>
    <phoneticPr fontId="14" type="noConversion"/>
  </si>
  <si>
    <t>温度曲线名称</t>
    <phoneticPr fontId="1" type="noConversion"/>
  </si>
  <si>
    <t>辐照度曲线名称</t>
    <phoneticPr fontId="3" type="noConversion"/>
  </si>
  <si>
    <t>PV_Irrad</t>
    <phoneticPr fontId="3" type="noConversion"/>
  </si>
  <si>
    <t>摄氏度</t>
    <phoneticPr fontId="1" type="noConversion"/>
  </si>
  <si>
    <t>温度曲线对象</t>
    <phoneticPr fontId="14" type="noConversion"/>
  </si>
  <si>
    <t>Tshape</t>
    <phoneticPr fontId="14" type="noConversion"/>
  </si>
  <si>
    <t>mult</t>
    <phoneticPr fontId="14" type="noConversion"/>
  </si>
  <si>
    <t>temp</t>
    <phoneticPr fontId="14" type="noConversion"/>
  </si>
  <si>
    <t>PV_Temp</t>
    <phoneticPr fontId="14" type="noConversion"/>
  </si>
  <si>
    <t>注意：
不要调动各表的上下次序</t>
    <phoneticPr fontId="14" type="noConversion"/>
  </si>
  <si>
    <t>系数</t>
    <phoneticPr fontId="3" type="noConversion"/>
  </si>
  <si>
    <t>辐照度曲线输入表</t>
    <phoneticPr fontId="14" type="noConversion"/>
  </si>
  <si>
    <t>辐照度曲线名称</t>
    <phoneticPr fontId="14" type="noConversion"/>
  </si>
  <si>
    <t>系数</t>
    <phoneticPr fontId="1" type="noConversion"/>
  </si>
  <si>
    <t>辐照度曲线对象</t>
    <phoneticPr fontId="14" type="noConversion"/>
  </si>
  <si>
    <t>辐照度曲线名称</t>
    <phoneticPr fontId="1" type="noConversion"/>
  </si>
  <si>
    <t>光伏电站输入表</t>
    <phoneticPr fontId="14" type="noConversion"/>
  </si>
  <si>
    <t>光伏电站名称</t>
  </si>
  <si>
    <t>光伏电站名称</t>
    <phoneticPr fontId="14" type="noConversion"/>
  </si>
  <si>
    <t>额定容量(kVA)</t>
  </si>
  <si>
    <t>额定容量(kVA)</t>
    <phoneticPr fontId="14" type="noConversion"/>
  </si>
  <si>
    <t>辐照度</t>
  </si>
  <si>
    <t>辐照度</t>
    <phoneticPr fontId="14" type="noConversion"/>
  </si>
  <si>
    <t>MPPT功率(kW)</t>
  </si>
  <si>
    <t>MPPT功率(kW)</t>
    <phoneticPr fontId="14" type="noConversion"/>
  </si>
  <si>
    <t>温度</t>
  </si>
  <si>
    <t>温度</t>
    <phoneticPr fontId="14" type="noConversion"/>
  </si>
  <si>
    <t>逆变器效率曲线</t>
  </si>
  <si>
    <t>逆变器效率曲线</t>
    <phoneticPr fontId="14" type="noConversion"/>
  </si>
  <si>
    <t>MPPT温度曲线</t>
  </si>
  <si>
    <t>MPPT温度曲线</t>
    <phoneticPr fontId="14" type="noConversion"/>
  </si>
  <si>
    <t>日温度曲线</t>
  </si>
  <si>
    <t>日温度曲线</t>
    <phoneticPr fontId="14" type="noConversion"/>
  </si>
  <si>
    <t>光伏电站名称</t>
    <phoneticPr fontId="3" type="noConversion"/>
  </si>
  <si>
    <t>辐照度</t>
    <phoneticPr fontId="14" type="noConversion"/>
  </si>
  <si>
    <t>MPPT功率(kW)</t>
    <phoneticPr fontId="14" type="noConversion"/>
  </si>
  <si>
    <t>温度</t>
    <phoneticPr fontId="14" type="noConversion"/>
  </si>
  <si>
    <t>MPPT温度曲线</t>
    <phoneticPr fontId="14" type="noConversion"/>
  </si>
  <si>
    <t>日温度曲线</t>
    <phoneticPr fontId="14" type="noConversion"/>
  </si>
  <si>
    <t>InvEff</t>
    <phoneticPr fontId="3" type="noConversion"/>
  </si>
  <si>
    <t>PVst</t>
    <phoneticPr fontId="3" type="noConversion"/>
  </si>
  <si>
    <t>日辐照度曲线</t>
  </si>
  <si>
    <t>日辐照度曲线</t>
    <phoneticPr fontId="14" type="noConversion"/>
  </si>
  <si>
    <t>PV_Irrad</t>
    <phoneticPr fontId="3" type="noConversion"/>
  </si>
  <si>
    <t>PV_Temp</t>
    <phoneticPr fontId="3" type="noConversion"/>
  </si>
  <si>
    <t>连接母线</t>
  </si>
  <si>
    <t>额定电压(kV)</t>
  </si>
  <si>
    <t>功率因数</t>
  </si>
  <si>
    <t>kV</t>
    <phoneticPr fontId="14" type="noConversion"/>
  </si>
  <si>
    <t>kVA</t>
    <phoneticPr fontId="14" type="noConversion"/>
  </si>
  <si>
    <t>irrad</t>
    <phoneticPr fontId="14" type="noConversion"/>
  </si>
  <si>
    <t>Pmpp</t>
    <phoneticPr fontId="14" type="noConversion"/>
  </si>
  <si>
    <t>temperature</t>
    <phoneticPr fontId="14" type="noConversion"/>
  </si>
  <si>
    <t>PF</t>
    <phoneticPr fontId="14" type="noConversion"/>
  </si>
  <si>
    <t>effcurve</t>
    <phoneticPr fontId="14" type="noConversion"/>
  </si>
  <si>
    <t>Daily</t>
    <phoneticPr fontId="14" type="noConversion"/>
  </si>
  <si>
    <t>Tdaily</t>
    <phoneticPr fontId="14" type="noConversion"/>
  </si>
  <si>
    <t>P-TCurve</t>
    <phoneticPr fontId="14" type="noConversion"/>
  </si>
  <si>
    <t>光伏电站对象</t>
    <phoneticPr fontId="14" type="noConversion"/>
  </si>
  <si>
    <t>PVSystem</t>
    <phoneticPr fontId="14" type="noConversion"/>
  </si>
  <si>
    <t>PV1</t>
    <phoneticPr fontId="3" type="noConversion"/>
  </si>
  <si>
    <t>pv1</t>
  </si>
  <si>
    <t>vv_curve</t>
    <phoneticPr fontId="14" type="noConversion"/>
  </si>
  <si>
    <t>逆变器控制输入表</t>
    <phoneticPr fontId="14" type="noConversion"/>
  </si>
  <si>
    <t>控制器</t>
    <phoneticPr fontId="14" type="noConversion"/>
  </si>
  <si>
    <t>逆变器控制名称</t>
    <phoneticPr fontId="14" type="noConversion"/>
  </si>
  <si>
    <t>控制模式</t>
    <phoneticPr fontId="1" type="noConversion"/>
  </si>
  <si>
    <t>电压曲线基准</t>
    <phoneticPr fontId="1" type="noConversion"/>
  </si>
  <si>
    <t>逆变器控制对象</t>
    <phoneticPr fontId="14" type="noConversion"/>
  </si>
  <si>
    <t>InvControl</t>
    <phoneticPr fontId="14" type="noConversion"/>
  </si>
  <si>
    <t>逆变器控制名称</t>
    <phoneticPr fontId="14" type="noConversion"/>
  </si>
  <si>
    <t>PVSystemList</t>
  </si>
  <si>
    <t>(</t>
    <phoneticPr fontId="14" type="noConversion"/>
  </si>
  <si>
    <t>)</t>
    <phoneticPr fontId="14" type="noConversion"/>
  </si>
  <si>
    <t>所控光伏变电站名称列表</t>
    <phoneticPr fontId="14" type="noConversion"/>
  </si>
  <si>
    <t>Mode</t>
  </si>
  <si>
    <t>控制模式</t>
    <phoneticPr fontId="14" type="noConversion"/>
  </si>
  <si>
    <t>vvc_curve1</t>
  </si>
  <si>
    <t>无功控制曲线名称</t>
    <phoneticPr fontId="14" type="noConversion"/>
  </si>
  <si>
    <t>voltage_curvex_ref</t>
  </si>
  <si>
    <t>滑动平均窗口长度</t>
    <phoneticPr fontId="14" type="noConversion"/>
  </si>
  <si>
    <t>avgwindowlen</t>
  </si>
  <si>
    <t>voltwatt_curve</t>
  </si>
  <si>
    <t>有功控制曲线名称</t>
    <phoneticPr fontId="14" type="noConversion"/>
  </si>
  <si>
    <t>VoltwattYAxis</t>
  </si>
  <si>
    <t>电压有功曲线Y值单位</t>
    <phoneticPr fontId="14" type="noConversion"/>
  </si>
  <si>
    <t>RateofChangeMode</t>
  </si>
  <si>
    <t>改变率</t>
    <phoneticPr fontId="14" type="noConversion"/>
  </si>
  <si>
    <t>LPFtau</t>
  </si>
  <si>
    <t>低通滤波器时间常数</t>
    <phoneticPr fontId="14" type="noConversion"/>
  </si>
  <si>
    <t>事件记录</t>
    <phoneticPr fontId="14" type="noConversion"/>
  </si>
  <si>
    <t>EventLog</t>
  </si>
  <si>
    <t>RiseFallLimit</t>
  </si>
  <si>
    <t>上升下降限制</t>
    <phoneticPr fontId="14" type="noConversion"/>
  </si>
  <si>
    <t>InvPVCtrl</t>
  </si>
  <si>
    <t xml:space="preserve">VOLTVAR </t>
  </si>
  <si>
    <t xml:space="preserve">rated </t>
  </si>
  <si>
    <t>逆变器停机门槛</t>
    <phoneticPr fontId="14" type="noConversion"/>
  </si>
  <si>
    <t>%Cutin</t>
    <phoneticPr fontId="14" type="noConversion"/>
  </si>
  <si>
    <t>%Cutout</t>
    <phoneticPr fontId="14" type="noConversion"/>
  </si>
  <si>
    <t>逆变器停机门槛</t>
    <phoneticPr fontId="14" type="noConversion"/>
  </si>
  <si>
    <t>逆变器开机门槛</t>
    <phoneticPr fontId="14" type="noConversion"/>
  </si>
  <si>
    <t>逆变器开机门槛</t>
    <phoneticPr fontId="14" type="noConversion"/>
  </si>
  <si>
    <t>VarFollowInverter</t>
  </si>
  <si>
    <t>逆变器停机无功停止</t>
    <phoneticPr fontId="14" type="noConversion"/>
  </si>
  <si>
    <t>逆变器停机无功停止</t>
    <phoneticPr fontId="14" type="noConversion"/>
  </si>
  <si>
    <t>True</t>
    <phoneticPr fontId="3" type="noConversion"/>
  </si>
  <si>
    <t>设置基准电压</t>
    <phoneticPr fontId="14" type="noConversion"/>
  </si>
  <si>
    <t>Set voltagebases=(115 10.5 0.4)</t>
    <phoneticPr fontId="14" type="noConversion"/>
  </si>
  <si>
    <t>设置基准频率</t>
    <phoneticPr fontId="14" type="noConversion"/>
  </si>
  <si>
    <t>Set basefrequency = 50</t>
    <phoneticPr fontId="14" type="noConversion"/>
  </si>
  <si>
    <t>无载计算</t>
    <phoneticPr fontId="14" type="noConversion"/>
  </si>
  <si>
    <t>Calcv</t>
    <phoneticPr fontId="14" type="noConversion"/>
  </si>
  <si>
    <t>设置计算模式</t>
    <phoneticPr fontId="14" type="noConversion"/>
  </si>
  <si>
    <t>Set mode=daily number=24 h=3600</t>
    <phoneticPr fontId="14" type="noConversion"/>
  </si>
  <si>
    <t>显示计算结果</t>
    <phoneticPr fontId="14" type="noConversion"/>
  </si>
  <si>
    <t>画图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</si>
</sst>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0_ "/>
    <numFmt numFmtId="177" formatCode="0.0000000000000_ "/>
  </numFmts>
  <fonts count="23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  <font>
      <sz val="10.5"/>
      <color theme="1"/>
      <name val="等线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rgb="FFFFEB9C"/>
      </patternFill>
    </fill>
    <fill>
      <patternFill patternType="solid">
        <fgColor rgb="FF66CCFF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19" fillId="0" borderId="0">
      <alignment vertical="center"/>
    </xf>
    <xf numFmtId="0" fontId="21" fillId="6" borderId="0" applyNumberFormat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0" fillId="0" borderId="0" xfId="0">
      <alignment vertical="center"/>
    </xf>
    <xf numFmtId="0" fontId="9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8" fillId="0" borderId="0" xfId="0" applyFo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 wrapText="1"/>
    </xf>
    <xf numFmtId="0" fontId="0" fillId="0" borderId="0" xfId="0" applyBorder="1">
      <alignment vertical="center"/>
    </xf>
    <xf numFmtId="0" fontId="8" fillId="0" borderId="0" xfId="0" applyFont="1" applyBorder="1">
      <alignment vertical="center"/>
    </xf>
    <xf numFmtId="21" fontId="0" fillId="0" borderId="0" xfId="0" applyNumberFormat="1" applyBorder="1">
      <alignment vertical="center"/>
    </xf>
    <xf numFmtId="0" fontId="12" fillId="0" borderId="0" xfId="0" applyFont="1" applyBorder="1" applyAlignment="1">
      <alignment horizontal="center" vertical="center" wrapText="1"/>
    </xf>
    <xf numFmtId="0" fontId="8" fillId="0" borderId="0" xfId="0" applyFont="1">
      <alignment vertical="center"/>
    </xf>
    <xf numFmtId="0" fontId="8" fillId="0" borderId="0" xfId="0" applyFo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Fill="1" applyBorder="1">
      <alignment vertical="center"/>
    </xf>
    <xf numFmtId="0" fontId="5" fillId="0" borderId="0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top" wrapText="1"/>
    </xf>
    <xf numFmtId="176" fontId="4" fillId="4" borderId="1" xfId="0" applyNumberFormat="1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Fill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0" fillId="0" borderId="2" xfId="0" applyNumberFormat="1" applyBorder="1">
      <alignment vertical="center"/>
    </xf>
    <xf numFmtId="21" fontId="17" fillId="0" borderId="0" xfId="0" applyNumberFormat="1" applyFont="1" applyBorder="1" applyAlignment="1">
      <alignment horizontal="center" vertical="center"/>
    </xf>
    <xf numFmtId="0" fontId="0" fillId="0" borderId="0" xfId="0" applyNumberFormat="1" applyBorder="1">
      <alignment vertical="center"/>
    </xf>
    <xf numFmtId="0" fontId="0" fillId="0" borderId="3" xfId="0" applyNumberFormat="1" applyBorder="1">
      <alignment vertical="center"/>
    </xf>
    <xf numFmtId="0" fontId="0" fillId="0" borderId="4" xfId="0" applyNumberFormat="1" applyBorder="1">
      <alignment vertical="center"/>
    </xf>
    <xf numFmtId="177" fontId="0" fillId="0" borderId="0" xfId="0" applyNumberFormat="1">
      <alignment vertical="center"/>
    </xf>
    <xf numFmtId="0" fontId="10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9" fillId="0" borderId="0" xfId="2" applyFont="1" applyAlignment="1">
      <alignment horizontal="center" vertical="center"/>
    </xf>
    <xf numFmtId="176" fontId="4" fillId="4" borderId="1" xfId="2" applyNumberFormat="1" applyFont="1" applyFill="1" applyBorder="1" applyAlignment="1">
      <alignment horizontal="center" vertical="center" wrapText="1"/>
    </xf>
    <xf numFmtId="176" fontId="4" fillId="5" borderId="1" xfId="2" applyNumberFormat="1" applyFont="1" applyFill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0" fontId="9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0" borderId="2" xfId="2" applyFont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/>
    </xf>
    <xf numFmtId="176" fontId="9" fillId="0" borderId="1" xfId="2" applyNumberFormat="1" applyFont="1" applyBorder="1" applyAlignment="1">
      <alignment horizontal="center" vertical="center"/>
    </xf>
    <xf numFmtId="0" fontId="4" fillId="0" borderId="2" xfId="2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7" borderId="1" xfId="0" applyFill="1" applyBorder="1">
      <alignment vertical="center"/>
    </xf>
    <xf numFmtId="0" fontId="0" fillId="7" borderId="1" xfId="0" applyFill="1" applyBorder="1" applyAlignment="1">
      <alignment vertical="center" wrapText="1"/>
    </xf>
    <xf numFmtId="0" fontId="0" fillId="8" borderId="1" xfId="0" applyFill="1" applyBorder="1">
      <alignment vertical="center"/>
    </xf>
    <xf numFmtId="0" fontId="5" fillId="3" borderId="1" xfId="1" applyFont="1" applyFill="1" applyBorder="1" applyAlignment="1">
      <alignment horizontal="center" vertical="center" wrapText="1"/>
    </xf>
    <xf numFmtId="0" fontId="21" fillId="6" borderId="1" xfId="3" applyBorder="1">
      <alignment vertical="center"/>
    </xf>
    <xf numFmtId="0" fontId="21" fillId="6" borderId="1" xfId="3" applyBorder="1" applyAlignment="1">
      <alignment vertical="center"/>
    </xf>
    <xf numFmtId="0" fontId="0" fillId="0" borderId="0" xfId="0" applyFill="1" applyBorder="1">
      <alignment vertical="center"/>
    </xf>
    <xf numFmtId="0" fontId="0" fillId="0" borderId="1" xfId="0" applyFill="1" applyBorder="1">
      <alignment vertical="center"/>
    </xf>
    <xf numFmtId="176" fontId="5" fillId="0" borderId="0" xfId="1" applyNumberFormat="1" applyFont="1" applyFill="1" applyBorder="1" applyAlignment="1">
      <alignment horizontal="center" vertical="center" wrapText="1"/>
    </xf>
    <xf numFmtId="176" fontId="5" fillId="0" borderId="0" xfId="1" applyNumberFormat="1" applyFont="1" applyBorder="1" applyAlignment="1">
      <alignment horizontal="center" vertical="center" wrapText="1"/>
    </xf>
    <xf numFmtId="0" fontId="22" fillId="0" borderId="0" xfId="0" applyFont="1">
      <alignment vertical="center"/>
    </xf>
    <xf numFmtId="0" fontId="2" fillId="0" borderId="0" xfId="0" quotePrefix="1" applyFont="1" applyFill="1" applyBorder="1" applyAlignment="1">
      <alignment horizontal="center" vertical="center"/>
    </xf>
  </cellXfs>
  <cellStyles count="4">
    <cellStyle name="常规" xfId="0" builtinId="0"/>
    <cellStyle name="常规 2" xfId="2" xr:uid="{65E3AB65-49E6-4420-8BEB-86ED63D5A3B6}"/>
    <cellStyle name="常规_配电导线单位电阻电抗" xfId="1" xr:uid="{00000000-0005-0000-0000-000001000000}"/>
    <cellStyle name="适中" xfId="3" builtinId="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CCFFCC"/>
      <color rgb="FFFF99CC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运行数据!$E$1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运行数据!$D$2:$D$25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运行数据!$E$2:$E$25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运行数据!$F$1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运行数据!$F$2:$F$25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运行数据!$E$29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运行数据!$D$30:$D$53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运行数据!$E$30:$E$53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发电曲线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运行数据!$E$55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运行数据!$D$56:$D$79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运行数据!$E$56:$E$79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2.8654545454545457E-2</c:v>
                </c:pt>
                <c:pt idx="7">
                  <c:v>8.8436363636363646E-2</c:v>
                </c:pt>
                <c:pt idx="8">
                  <c:v>0.20916363636363636</c:v>
                </c:pt>
                <c:pt idx="9">
                  <c:v>0.3904727272727273</c:v>
                </c:pt>
                <c:pt idx="10">
                  <c:v>0.45847272727272731</c:v>
                </c:pt>
                <c:pt idx="11">
                  <c:v>0.74029090909090911</c:v>
                </c:pt>
                <c:pt idx="12">
                  <c:v>0.83410909090909091</c:v>
                </c:pt>
                <c:pt idx="13">
                  <c:v>0.83294545454545466</c:v>
                </c:pt>
                <c:pt idx="14">
                  <c:v>0.76298181818181821</c:v>
                </c:pt>
                <c:pt idx="15">
                  <c:v>0.59047272727272737</c:v>
                </c:pt>
                <c:pt idx="16">
                  <c:v>0.28574545454545452</c:v>
                </c:pt>
                <c:pt idx="17">
                  <c:v>0.21658181818181818</c:v>
                </c:pt>
                <c:pt idx="18">
                  <c:v>6.6763636363636358E-2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B-413D-935E-342CC8AC0341}"/>
            </c:ext>
          </c:extLst>
        </c:ser>
        <c:ser>
          <c:idx val="1"/>
          <c:order val="1"/>
          <c:tx>
            <c:strRef>
              <c:f>运行数据!$F$55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运行数据!$D$56:$D$79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运行数据!$F$56:$F$79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4B-413D-935E-342CC8AC0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计算结果!$B$3:$C$3</c:f>
              <c:strCache>
                <c:ptCount val="2"/>
                <c:pt idx="0">
                  <c:v>负载损耗kWh</c:v>
                </c:pt>
                <c:pt idx="1">
                  <c:v>空载损耗kWh</c:v>
                </c:pt>
              </c:strCache>
            </c:strRef>
          </c:cat>
          <c:val>
            <c:numRef>
              <c:f>计算结果!$B$4:$C$4</c:f>
              <c:numCache>
                <c:formatCode>0.00</c:formatCode>
                <c:ptCount val="2"/>
                <c:pt idx="0">
                  <c:v>191.00389205961773</c:v>
                </c:pt>
                <c:pt idx="1">
                  <c:v>31.088769237071688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1C-4039-8D2C-3B287D65FCC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计算结果!$D$3:$E$3</c:f>
              <c:strCache>
                <c:ptCount val="2"/>
                <c:pt idx="0">
                  <c:v>线路损耗kWh</c:v>
                </c:pt>
                <c:pt idx="1">
                  <c:v>变压器损耗kWh</c:v>
                </c:pt>
              </c:strCache>
            </c:strRef>
          </c:cat>
          <c:val>
            <c:numRef>
              <c:f>计算结果!$D$4:$E$4</c:f>
              <c:numCache>
                <c:formatCode>0.00</c:formatCode>
                <c:ptCount val="2"/>
                <c:pt idx="0">
                  <c:v>135.13081566676846</c:v>
                </c:pt>
                <c:pt idx="1">
                  <c:v>86.961845629920916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4-435F-A564-311231AC955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计算结果!$D$7</c:f>
              <c:strCache>
                <c:ptCount val="1"/>
                <c:pt idx="0">
                  <c:v>总损耗kWh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计算结果!$A$8:$A$12</c:f>
              <c:strCache>
                <c:ptCount val="5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</c:strCache>
            </c:strRef>
          </c:cat>
          <c:val>
            <c:numRef>
              <c:f>计算结果!$D$8:$D$12</c:f>
              <c:numCache>
                <c:formatCode>0.00</c:formatCode>
                <c:ptCount val="5"/>
                <c:pt idx="0">
                  <c:v>9.7217937621741388</c:v>
                </c:pt>
                <c:pt idx="1">
                  <c:v>8.1998011648500437</c:v>
                </c:pt>
                <c:pt idx="2">
                  <c:v>0.31877715662046652</c:v>
                </c:pt>
                <c:pt idx="3">
                  <c:v>56.649397925694899</c:v>
                </c:pt>
                <c:pt idx="4">
                  <c:v>60.22927796479955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B7-42B1-9BEE-F3E7A8048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1190368"/>
        <c:axId val="321190784"/>
      </c:barChart>
      <c:catAx>
        <c:axId val="32119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1190784"/>
        <c:crosses val="autoZero"/>
        <c:auto val="1"/>
        <c:lblAlgn val="ctr"/>
        <c:lblOffset val="100"/>
        <c:noMultiLvlLbl val="0"/>
      </c:catAx>
      <c:valAx>
        <c:axId val="3211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119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计算结果!$D$15</c:f>
              <c:strCache>
                <c:ptCount val="1"/>
                <c:pt idx="0">
                  <c:v>总损耗kWh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计算结果!$A$16:$A$19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计算结果!$D$16:$D$19</c:f>
              <c:numCache>
                <c:formatCode>0.00</c:formatCode>
                <c:ptCount val="4"/>
                <c:pt idx="0">
                  <c:v>10.772587124217639</c:v>
                </c:pt>
                <c:pt idx="1">
                  <c:v>26.45299098640437</c:v>
                </c:pt>
                <c:pt idx="2">
                  <c:v>31.291943129444679</c:v>
                </c:pt>
                <c:pt idx="3">
                  <c:v>18.444355519574813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8C-4B52-890D-7BB221C52E9C}"/>
            </c:ext>
          </c:extLst>
        </c:ser>
        <c:ser>
          <c:idx val="1"/>
          <c:order val="1"/>
          <c:tx>
            <c:strRef>
              <c:f>计算结果!$E$15</c:f>
              <c:strCache>
                <c:ptCount val="1"/>
                <c:pt idx="0">
                  <c:v>空载损耗kWh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计算结果!$A$16:$A$19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计算结果!$E$16:$E$19</c:f>
              <c:numCache>
                <c:formatCode>0.00</c:formatCode>
                <c:ptCount val="4"/>
                <c:pt idx="0">
                  <c:v>4.0611090209197993</c:v>
                </c:pt>
                <c:pt idx="1">
                  <c:v>9.5309686008346866</c:v>
                </c:pt>
                <c:pt idx="2">
                  <c:v>11.465556866611241</c:v>
                </c:pt>
                <c:pt idx="3">
                  <c:v>6.9195398606974852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8C-4B52-890D-7BB221C52E9C}"/>
            </c:ext>
          </c:extLst>
        </c:ser>
        <c:ser>
          <c:idx val="2"/>
          <c:order val="2"/>
          <c:tx>
            <c:strRef>
              <c:f>计算结果!$F$15</c:f>
              <c:strCache>
                <c:ptCount val="1"/>
                <c:pt idx="0">
                  <c:v>负载损耗kWh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计算结果!$A$16:$A$19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计算结果!$F$16:$F$19</c:f>
              <c:numCache>
                <c:formatCode>0.00</c:formatCode>
                <c:ptCount val="4"/>
                <c:pt idx="0">
                  <c:v>6.7114781032978392</c:v>
                </c:pt>
                <c:pt idx="1">
                  <c:v>16.922022385569683</c:v>
                </c:pt>
                <c:pt idx="2">
                  <c:v>19.826386262833438</c:v>
                </c:pt>
                <c:pt idx="3">
                  <c:v>11.524815658877328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8C-4B52-890D-7BB221C52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083952"/>
        <c:axId val="326084368"/>
      </c:barChart>
      <c:catAx>
        <c:axId val="32608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6084368"/>
        <c:crosses val="autoZero"/>
        <c:auto val="1"/>
        <c:lblAlgn val="ctr"/>
        <c:lblOffset val="100"/>
        <c:noMultiLvlLbl val="0"/>
      </c:catAx>
      <c:valAx>
        <c:axId val="32608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608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15</xdr:row>
          <xdr:rowOff>133350</xdr:rowOff>
        </xdr:from>
        <xdr:to>
          <xdr:col>7</xdr:col>
          <xdr:colOff>0</xdr:colOff>
          <xdr:row>17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38100</xdr:rowOff>
        </xdr:from>
        <xdr:to>
          <xdr:col>13</xdr:col>
          <xdr:colOff>9525</xdr:colOff>
          <xdr:row>3</xdr:row>
          <xdr:rowOff>352425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插入空行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69850</xdr:colOff>
      <xdr:row>2</xdr:row>
      <xdr:rowOff>59690</xdr:rowOff>
    </xdr:from>
    <xdr:to>
      <xdr:col>14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160020</xdr:colOff>
      <xdr:row>27</xdr:row>
      <xdr:rowOff>160020</xdr:rowOff>
    </xdr:from>
    <xdr:to>
      <xdr:col>14</xdr:col>
      <xdr:colOff>816610</xdr:colOff>
      <xdr:row>42</xdr:row>
      <xdr:rowOff>5080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69850</xdr:colOff>
      <xdr:row>56</xdr:row>
      <xdr:rowOff>59690</xdr:rowOff>
    </xdr:from>
    <xdr:to>
      <xdr:col>14</xdr:col>
      <xdr:colOff>725170</xdr:colOff>
      <xdr:row>71</xdr:row>
      <xdr:rowOff>30480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11</xdr:col>
      <xdr:colOff>0</xdr:colOff>
      <xdr:row>5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6CE72FC4-556E-4EF5-8DDD-5266914493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17</xdr:col>
      <xdr:colOff>0</xdr:colOff>
      <xdr:row>5</xdr:row>
      <xdr:rowOff>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5C6782E9-9D80-4E2E-930B-4A3080A840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6</xdr:row>
      <xdr:rowOff>0</xdr:rowOff>
    </xdr:from>
    <xdr:to>
      <xdr:col>15</xdr:col>
      <xdr:colOff>28575</xdr:colOff>
      <xdr:row>12</xdr:row>
      <xdr:rowOff>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3CA13674-3DAB-40F0-A106-0677C7DDC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14</xdr:row>
      <xdr:rowOff>0</xdr:rowOff>
    </xdr:from>
    <xdr:to>
      <xdr:col>16</xdr:col>
      <xdr:colOff>461962</xdr:colOff>
      <xdr:row>20</xdr:row>
      <xdr:rowOff>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4DE4CFC1-5D0C-429B-924D-00D4CAF813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1:P83"/>
  <sheetViews>
    <sheetView tabSelected="1" workbookViewId="0">
      <selection activeCell="E1" sqref="E1"/>
    </sheetView>
  </sheetViews>
  <sheetFormatPr defaultRowHeight="13.5" x14ac:dyDescent="0.3"/>
  <cols>
    <col min="1" max="1" width="19.73046875" customWidth="1"/>
    <col min="2" max="2" width="16.265625" customWidth="1"/>
    <col min="3" max="3" width="16.73046875" customWidth="1"/>
    <col min="4" max="4" width="15.46484375" customWidth="1"/>
    <col min="5" max="5" width="17.3984375" customWidth="1"/>
    <col min="6" max="6" width="18.86328125" customWidth="1"/>
    <col min="7" max="7" width="20" bestFit="1" customWidth="1"/>
    <col min="8" max="9" width="18.86328125" bestFit="1" customWidth="1"/>
    <col min="10" max="10" width="16.3984375" customWidth="1"/>
    <col min="11" max="11" width="15.265625" customWidth="1"/>
    <col min="12" max="12" width="13.86328125" bestFit="1" customWidth="1"/>
    <col min="13" max="13" width="12.3984375" customWidth="1"/>
    <col min="14" max="14" width="16.265625" customWidth="1"/>
    <col min="15" max="15" width="15.86328125" customWidth="1"/>
    <col min="16" max="16" width="18.1328125" customWidth="1"/>
  </cols>
  <sheetData>
    <row r="1" spans="1:7" s="1" customFormat="1" ht="46.5" customHeight="1" x14ac:dyDescent="0.3">
      <c r="A1" s="59" t="s">
        <v>192</v>
      </c>
      <c r="B1" s="59" t="s">
        <v>210</v>
      </c>
      <c r="D1" s="57" t="s">
        <v>207</v>
      </c>
      <c r="E1" s="58" t="str">
        <f>getOrganization()</f>
        <v>国网江西省电力有限公司电力科学研究院</v>
      </c>
      <c r="G1" s="10" t="s">
        <v>337</v>
      </c>
    </row>
    <row r="2" spans="1:7" s="1" customFormat="1" x14ac:dyDescent="0.3">
      <c r="A2" s="59" t="s">
        <v>193</v>
      </c>
      <c r="B2" s="59" t="s">
        <v>211</v>
      </c>
      <c r="D2" s="57" t="s">
        <v>208</v>
      </c>
      <c r="E2" s="57" t="str">
        <f>getAuthor()</f>
        <v>孙旻</v>
      </c>
    </row>
    <row r="3" spans="1:7" s="1" customFormat="1" x14ac:dyDescent="0.3">
      <c r="A3" s="59" t="s">
        <v>194</v>
      </c>
      <c r="B3" s="59"/>
      <c r="D3" s="57" t="s">
        <v>209</v>
      </c>
      <c r="E3" s="57" t="str">
        <f>getVersion()</f>
        <v>1.0.2</v>
      </c>
    </row>
    <row r="4" spans="1:7" s="1" customFormat="1" x14ac:dyDescent="0.3">
      <c r="A4" s="59" t="s">
        <v>195</v>
      </c>
      <c r="B4" s="59"/>
    </row>
    <row r="5" spans="1:7" s="1" customFormat="1" x14ac:dyDescent="0.3">
      <c r="A5" s="59" t="s">
        <v>196</v>
      </c>
      <c r="B5" s="59"/>
    </row>
    <row r="7" spans="1:7" s="1" customFormat="1" x14ac:dyDescent="0.3">
      <c r="A7" s="1" t="s">
        <v>68</v>
      </c>
      <c r="F7" s="62" t="s">
        <v>164</v>
      </c>
      <c r="G7" s="62"/>
    </row>
    <row r="8" spans="1:7" s="1" customFormat="1" x14ac:dyDescent="0.3">
      <c r="A8" s="1" t="s">
        <v>55</v>
      </c>
      <c r="B8" s="1" t="s">
        <v>222</v>
      </c>
      <c r="F8" s="61" t="s">
        <v>165</v>
      </c>
      <c r="G8" s="61" t="s">
        <v>166</v>
      </c>
    </row>
    <row r="9" spans="1:7" s="1" customFormat="1" x14ac:dyDescent="0.3">
      <c r="A9" s="1" t="s">
        <v>59</v>
      </c>
      <c r="B9" s="1" t="s">
        <v>69</v>
      </c>
      <c r="F9" s="61" t="s">
        <v>167</v>
      </c>
      <c r="G9" s="61" t="s">
        <v>178</v>
      </c>
    </row>
    <row r="10" spans="1:7" s="1" customFormat="1" x14ac:dyDescent="0.3">
      <c r="A10" s="1" t="s">
        <v>53</v>
      </c>
      <c r="B10" s="30" t="s">
        <v>69</v>
      </c>
      <c r="C10" s="30"/>
      <c r="D10" s="31"/>
    </row>
    <row r="11" spans="1:7" s="1" customFormat="1" x14ac:dyDescent="0.3">
      <c r="A11" s="1" t="s">
        <v>142</v>
      </c>
      <c r="B11" s="30" t="s">
        <v>143</v>
      </c>
      <c r="C11" s="30"/>
      <c r="D11" s="31"/>
    </row>
    <row r="12" spans="1:7" s="1" customFormat="1" x14ac:dyDescent="0.3">
      <c r="B12" s="30"/>
      <c r="C12" s="30"/>
      <c r="D12" s="31"/>
    </row>
    <row r="13" spans="1:7" x14ac:dyDescent="0.3">
      <c r="A13" t="s">
        <v>54</v>
      </c>
    </row>
    <row r="14" spans="1:7" x14ac:dyDescent="0.3">
      <c r="A14" t="s">
        <v>55</v>
      </c>
      <c r="B14" t="s">
        <v>177</v>
      </c>
    </row>
    <row r="15" spans="1:7" x14ac:dyDescent="0.3">
      <c r="A15" t="s">
        <v>59</v>
      </c>
      <c r="B15" t="s">
        <v>17</v>
      </c>
    </row>
    <row r="16" spans="1:7" x14ac:dyDescent="0.3">
      <c r="A16" t="s">
        <v>53</v>
      </c>
      <c r="B16" s="30" t="s">
        <v>17</v>
      </c>
      <c r="C16" s="30" t="s">
        <v>231</v>
      </c>
      <c r="D16" s="31" t="s">
        <v>232</v>
      </c>
    </row>
    <row r="17" spans="1:12" s="1" customFormat="1" x14ac:dyDescent="0.3">
      <c r="A17" s="1" t="s">
        <v>142</v>
      </c>
      <c r="B17" s="30" t="s">
        <v>143</v>
      </c>
      <c r="C17" s="30" t="s">
        <v>143</v>
      </c>
      <c r="D17" s="30" t="s">
        <v>143</v>
      </c>
    </row>
    <row r="19" spans="1:12" x14ac:dyDescent="0.3">
      <c r="A19" t="s">
        <v>56</v>
      </c>
    </row>
    <row r="20" spans="1:12" x14ac:dyDescent="0.3">
      <c r="A20" s="1" t="s">
        <v>55</v>
      </c>
      <c r="B20" t="s">
        <v>222</v>
      </c>
    </row>
    <row r="21" spans="1:12" x14ac:dyDescent="0.3">
      <c r="A21" s="1" t="s">
        <v>59</v>
      </c>
      <c r="B21" s="1" t="s">
        <v>46</v>
      </c>
    </row>
    <row r="22" spans="1:12" x14ac:dyDescent="0.3">
      <c r="A22" s="1" t="s">
        <v>53</v>
      </c>
      <c r="B22" t="s">
        <v>233</v>
      </c>
      <c r="C22" t="s">
        <v>159</v>
      </c>
      <c r="D22" t="s">
        <v>234</v>
      </c>
      <c r="E22" t="s">
        <v>235</v>
      </c>
      <c r="F22" t="s">
        <v>236</v>
      </c>
    </row>
    <row r="23" spans="1:12" s="1" customFormat="1" x14ac:dyDescent="0.3">
      <c r="A23" s="1" t="s">
        <v>142</v>
      </c>
      <c r="B23" s="30" t="s">
        <v>143</v>
      </c>
      <c r="C23" s="30" t="s">
        <v>143</v>
      </c>
      <c r="D23" s="30" t="s">
        <v>143</v>
      </c>
      <c r="E23" s="30" t="s">
        <v>143</v>
      </c>
      <c r="F23" s="30" t="s">
        <v>143</v>
      </c>
    </row>
    <row r="25" spans="1:12" x14ac:dyDescent="0.3">
      <c r="A25" s="1" t="s">
        <v>60</v>
      </c>
    </row>
    <row r="26" spans="1:12" x14ac:dyDescent="0.3">
      <c r="A26" s="1" t="s">
        <v>55</v>
      </c>
      <c r="B26" s="1" t="s">
        <v>222</v>
      </c>
    </row>
    <row r="27" spans="1:12" x14ac:dyDescent="0.3">
      <c r="A27" s="1" t="s">
        <v>59</v>
      </c>
      <c r="B27" s="1" t="s">
        <v>52</v>
      </c>
    </row>
    <row r="28" spans="1:12" x14ac:dyDescent="0.3">
      <c r="A28" s="1" t="s">
        <v>53</v>
      </c>
      <c r="B28" t="s">
        <v>237</v>
      </c>
      <c r="C28" t="s">
        <v>238</v>
      </c>
      <c r="D28" t="s">
        <v>239</v>
      </c>
      <c r="E28" t="s">
        <v>240</v>
      </c>
      <c r="F28" t="s">
        <v>241</v>
      </c>
      <c r="G28" t="s">
        <v>242</v>
      </c>
      <c r="H28" t="s">
        <v>243</v>
      </c>
      <c r="I28" t="s">
        <v>244</v>
      </c>
      <c r="J28" t="s">
        <v>245</v>
      </c>
      <c r="K28" t="s">
        <v>246</v>
      </c>
      <c r="L28" t="s">
        <v>247</v>
      </c>
    </row>
    <row r="29" spans="1:12" s="1" customFormat="1" x14ac:dyDescent="0.3">
      <c r="A29" s="1" t="s">
        <v>142</v>
      </c>
      <c r="B29" s="30" t="s">
        <v>143</v>
      </c>
      <c r="C29" s="30" t="s">
        <v>143</v>
      </c>
      <c r="D29" s="30" t="s">
        <v>143</v>
      </c>
      <c r="E29" s="30" t="s">
        <v>143</v>
      </c>
      <c r="F29" s="30" t="s">
        <v>143</v>
      </c>
      <c r="G29" s="30" t="s">
        <v>143</v>
      </c>
      <c r="H29" s="30" t="s">
        <v>143</v>
      </c>
      <c r="I29" s="30" t="s">
        <v>143</v>
      </c>
      <c r="K29" s="30" t="s">
        <v>143</v>
      </c>
      <c r="L29" s="30" t="s">
        <v>143</v>
      </c>
    </row>
    <row r="30" spans="1:12" s="1" customFormat="1" x14ac:dyDescent="0.3">
      <c r="B30" s="30"/>
      <c r="C30" s="30"/>
      <c r="D30" s="30"/>
      <c r="E30" s="30"/>
      <c r="F30" s="30"/>
      <c r="G30" s="30"/>
      <c r="H30" s="30"/>
      <c r="I30" s="30"/>
      <c r="K30" s="30"/>
      <c r="L30" s="30"/>
    </row>
    <row r="31" spans="1:12" s="1" customFormat="1" x14ac:dyDescent="0.3">
      <c r="A31" s="1" t="s">
        <v>229</v>
      </c>
    </row>
    <row r="32" spans="1:12" s="1" customFormat="1" x14ac:dyDescent="0.3">
      <c r="A32" s="1" t="s">
        <v>55</v>
      </c>
      <c r="B32" s="1" t="s">
        <v>144</v>
      </c>
    </row>
    <row r="33" spans="1:8" s="1" customFormat="1" x14ac:dyDescent="0.3">
      <c r="A33" s="1" t="s">
        <v>59</v>
      </c>
      <c r="B33" s="1" t="s">
        <v>230</v>
      </c>
    </row>
    <row r="34" spans="1:8" s="1" customFormat="1" x14ac:dyDescent="0.3">
      <c r="A34" s="1" t="s">
        <v>53</v>
      </c>
      <c r="B34" s="1" t="s">
        <v>230</v>
      </c>
      <c r="C34" s="21" t="s">
        <v>154</v>
      </c>
      <c r="D34" s="21" t="s">
        <v>155</v>
      </c>
      <c r="E34" s="22" t="s">
        <v>103</v>
      </c>
      <c r="F34" s="22" t="s">
        <v>104</v>
      </c>
    </row>
    <row r="35" spans="1:8" s="1" customFormat="1" x14ac:dyDescent="0.3">
      <c r="A35" s="1" t="s">
        <v>142</v>
      </c>
      <c r="B35" s="30" t="s">
        <v>143</v>
      </c>
      <c r="C35" s="30" t="s">
        <v>143</v>
      </c>
      <c r="D35" s="30" t="s">
        <v>143</v>
      </c>
      <c r="E35" s="30" t="s">
        <v>143</v>
      </c>
      <c r="F35" s="30" t="s">
        <v>143</v>
      </c>
      <c r="G35" s="30"/>
      <c r="H35" s="30"/>
    </row>
    <row r="37" spans="1:8" x14ac:dyDescent="0.3">
      <c r="A37" s="1" t="s">
        <v>145</v>
      </c>
      <c r="B37" s="1"/>
      <c r="C37" s="1"/>
      <c r="D37" s="1"/>
    </row>
    <row r="38" spans="1:8" x14ac:dyDescent="0.3">
      <c r="A38" s="1" t="s">
        <v>55</v>
      </c>
      <c r="B38" s="1" t="s">
        <v>144</v>
      </c>
      <c r="C38" s="1"/>
      <c r="D38" s="1"/>
    </row>
    <row r="39" spans="1:8" x14ac:dyDescent="0.3">
      <c r="A39" s="1" t="s">
        <v>59</v>
      </c>
      <c r="B39" s="1" t="s">
        <v>146</v>
      </c>
      <c r="C39" s="1"/>
      <c r="D39" s="1"/>
    </row>
    <row r="40" spans="1:8" x14ac:dyDescent="0.3">
      <c r="A40" s="1" t="s">
        <v>53</v>
      </c>
      <c r="B40" s="1" t="s">
        <v>146</v>
      </c>
      <c r="C40" s="21" t="s">
        <v>154</v>
      </c>
      <c r="D40" s="21" t="s">
        <v>155</v>
      </c>
      <c r="E40" s="22" t="s">
        <v>116</v>
      </c>
      <c r="F40" s="22" t="s">
        <v>115</v>
      </c>
    </row>
    <row r="41" spans="1:8" x14ac:dyDescent="0.3">
      <c r="A41" s="1" t="s">
        <v>142</v>
      </c>
      <c r="B41" s="30" t="s">
        <v>143</v>
      </c>
      <c r="C41" s="30" t="s">
        <v>143</v>
      </c>
      <c r="D41" s="30" t="s">
        <v>143</v>
      </c>
      <c r="E41" s="30" t="s">
        <v>143</v>
      </c>
      <c r="F41" s="30"/>
    </row>
    <row r="43" spans="1:8" x14ac:dyDescent="0.3">
      <c r="A43" s="1" t="s">
        <v>216</v>
      </c>
      <c r="B43" s="1"/>
      <c r="C43" s="1"/>
      <c r="D43" s="1"/>
      <c r="E43" s="1"/>
      <c r="F43" s="1"/>
    </row>
    <row r="44" spans="1:8" x14ac:dyDescent="0.3">
      <c r="A44" s="1" t="s">
        <v>55</v>
      </c>
      <c r="B44" s="1" t="s">
        <v>144</v>
      </c>
      <c r="C44" s="1"/>
      <c r="D44" s="1"/>
      <c r="E44" s="1"/>
      <c r="F44" s="1"/>
    </row>
    <row r="45" spans="1:8" x14ac:dyDescent="0.3">
      <c r="A45" s="1" t="s">
        <v>59</v>
      </c>
      <c r="B45" s="1" t="s">
        <v>217</v>
      </c>
      <c r="C45" s="1"/>
      <c r="D45" s="1"/>
      <c r="E45" s="1"/>
      <c r="F45" s="1"/>
    </row>
    <row r="46" spans="1:8" x14ac:dyDescent="0.3">
      <c r="A46" s="1" t="s">
        <v>53</v>
      </c>
      <c r="B46" s="1" t="s">
        <v>217</v>
      </c>
      <c r="C46" s="21" t="s">
        <v>154</v>
      </c>
      <c r="D46" s="21" t="s">
        <v>155</v>
      </c>
      <c r="E46" s="22" t="s">
        <v>103</v>
      </c>
      <c r="F46" s="22" t="s">
        <v>104</v>
      </c>
    </row>
    <row r="47" spans="1:8" x14ac:dyDescent="0.3">
      <c r="A47" s="1" t="s">
        <v>142</v>
      </c>
      <c r="B47" s="30" t="s">
        <v>143</v>
      </c>
      <c r="C47" s="30" t="s">
        <v>143</v>
      </c>
      <c r="D47" s="30" t="s">
        <v>143</v>
      </c>
      <c r="E47" s="30" t="s">
        <v>143</v>
      </c>
      <c r="F47" s="30" t="s">
        <v>143</v>
      </c>
    </row>
    <row r="48" spans="1:8" s="1" customFormat="1" x14ac:dyDescent="0.3">
      <c r="B48" s="30"/>
      <c r="C48" s="30"/>
      <c r="D48" s="30"/>
      <c r="E48" s="30"/>
      <c r="F48" s="30"/>
    </row>
    <row r="49" spans="1:9" s="1" customFormat="1" x14ac:dyDescent="0.3">
      <c r="A49" s="1" t="s">
        <v>339</v>
      </c>
    </row>
    <row r="50" spans="1:9" s="1" customFormat="1" x14ac:dyDescent="0.3">
      <c r="A50" s="1" t="s">
        <v>55</v>
      </c>
      <c r="B50" s="1" t="s">
        <v>144</v>
      </c>
    </row>
    <row r="51" spans="1:9" x14ac:dyDescent="0.3">
      <c r="A51" s="1" t="s">
        <v>59</v>
      </c>
      <c r="B51" s="1" t="s">
        <v>340</v>
      </c>
      <c r="C51" s="1"/>
      <c r="D51" s="1"/>
      <c r="E51" s="1"/>
      <c r="F51" s="1"/>
    </row>
    <row r="52" spans="1:9" x14ac:dyDescent="0.3">
      <c r="A52" s="1" t="s">
        <v>53</v>
      </c>
      <c r="B52" s="1" t="s">
        <v>340</v>
      </c>
      <c r="C52" s="21" t="s">
        <v>154</v>
      </c>
      <c r="D52" s="21" t="s">
        <v>155</v>
      </c>
      <c r="E52" s="22" t="s">
        <v>341</v>
      </c>
      <c r="F52" s="22"/>
    </row>
    <row r="53" spans="1:9" x14ac:dyDescent="0.3">
      <c r="A53" s="1" t="s">
        <v>142</v>
      </c>
      <c r="B53" s="30" t="s">
        <v>143</v>
      </c>
      <c r="C53" s="30" t="s">
        <v>143</v>
      </c>
      <c r="D53" s="30" t="s">
        <v>143</v>
      </c>
      <c r="E53" s="30" t="s">
        <v>143</v>
      </c>
      <c r="F53" s="30"/>
    </row>
    <row r="54" spans="1:9" x14ac:dyDescent="0.3">
      <c r="A54" s="1"/>
      <c r="B54" s="30"/>
      <c r="C54" s="30"/>
      <c r="D54" s="30"/>
      <c r="E54" s="30"/>
      <c r="F54" s="30"/>
    </row>
    <row r="55" spans="1:9" x14ac:dyDescent="0.3">
      <c r="A55" s="1" t="s">
        <v>311</v>
      </c>
      <c r="B55" s="30"/>
      <c r="C55" s="30"/>
      <c r="D55" s="30"/>
      <c r="E55" s="30"/>
      <c r="F55" s="30"/>
      <c r="H55" s="21"/>
      <c r="I55" s="21"/>
    </row>
    <row r="56" spans="1:9" x14ac:dyDescent="0.3">
      <c r="A56" s="1" t="s">
        <v>55</v>
      </c>
      <c r="B56" s="1" t="s">
        <v>315</v>
      </c>
      <c r="C56" s="1"/>
      <c r="D56" s="1"/>
      <c r="E56" s="1"/>
      <c r="F56" s="1"/>
      <c r="H56" s="30"/>
      <c r="I56" s="30"/>
    </row>
    <row r="57" spans="1:9" x14ac:dyDescent="0.3">
      <c r="A57" s="1" t="s">
        <v>59</v>
      </c>
      <c r="B57" s="1" t="s">
        <v>312</v>
      </c>
      <c r="C57" s="1"/>
      <c r="D57" s="1"/>
      <c r="E57" s="1"/>
      <c r="F57" s="1"/>
    </row>
    <row r="58" spans="1:9" x14ac:dyDescent="0.3">
      <c r="A58" s="1" t="s">
        <v>53</v>
      </c>
      <c r="B58" s="1" t="s">
        <v>312</v>
      </c>
      <c r="C58" s="21" t="s">
        <v>154</v>
      </c>
      <c r="D58" s="21" t="s">
        <v>313</v>
      </c>
      <c r="E58" s="21" t="s">
        <v>314</v>
      </c>
      <c r="F58" s="22"/>
    </row>
    <row r="59" spans="1:9" x14ac:dyDescent="0.3">
      <c r="A59" s="1" t="s">
        <v>142</v>
      </c>
      <c r="B59" s="30" t="s">
        <v>143</v>
      </c>
      <c r="C59" s="30" t="s">
        <v>143</v>
      </c>
      <c r="D59" s="30" t="s">
        <v>143</v>
      </c>
      <c r="E59" s="30" t="s">
        <v>143</v>
      </c>
      <c r="F59" s="30"/>
    </row>
    <row r="61" spans="1:9" s="1" customFormat="1" x14ac:dyDescent="0.3">
      <c r="A61" s="1" t="s">
        <v>325</v>
      </c>
      <c r="B61" s="30"/>
      <c r="C61" s="30"/>
      <c r="D61" s="30"/>
      <c r="E61" s="30"/>
      <c r="F61"/>
    </row>
    <row r="62" spans="1:9" x14ac:dyDescent="0.3">
      <c r="A62" s="1" t="s">
        <v>55</v>
      </c>
      <c r="B62" s="1" t="s">
        <v>315</v>
      </c>
      <c r="C62" s="1"/>
      <c r="D62" s="1"/>
      <c r="E62" s="1"/>
    </row>
    <row r="63" spans="1:9" x14ac:dyDescent="0.3">
      <c r="A63" s="1" t="s">
        <v>59</v>
      </c>
      <c r="B63" s="1" t="s">
        <v>326</v>
      </c>
      <c r="C63" s="1"/>
      <c r="D63" s="1"/>
      <c r="E63" s="1"/>
    </row>
    <row r="64" spans="1:9" x14ac:dyDescent="0.3">
      <c r="A64" s="1" t="s">
        <v>53</v>
      </c>
      <c r="B64" s="1" t="s">
        <v>326</v>
      </c>
      <c r="C64" s="21" t="s">
        <v>154</v>
      </c>
      <c r="D64" s="21" t="s">
        <v>327</v>
      </c>
      <c r="E64" s="21"/>
    </row>
    <row r="65" spans="1:16" x14ac:dyDescent="0.3">
      <c r="A65" s="1" t="s">
        <v>142</v>
      </c>
      <c r="B65" s="30" t="s">
        <v>143</v>
      </c>
      <c r="C65" s="30" t="s">
        <v>143</v>
      </c>
      <c r="D65" s="30" t="s">
        <v>143</v>
      </c>
      <c r="E65" s="30"/>
    </row>
    <row r="66" spans="1:16" x14ac:dyDescent="0.3">
      <c r="A66" s="1"/>
      <c r="B66" s="30"/>
      <c r="C66" s="30"/>
      <c r="D66" s="30"/>
      <c r="E66" s="30"/>
      <c r="F66" s="1"/>
    </row>
    <row r="67" spans="1:16" x14ac:dyDescent="0.3">
      <c r="A67" s="1" t="s">
        <v>147</v>
      </c>
      <c r="B67" s="1"/>
      <c r="C67" s="1"/>
      <c r="D67" s="1"/>
    </row>
    <row r="68" spans="1:16" x14ac:dyDescent="0.3">
      <c r="A68" s="1" t="s">
        <v>55</v>
      </c>
      <c r="B68" s="1" t="s">
        <v>222</v>
      </c>
      <c r="C68" s="1"/>
      <c r="D68" s="1"/>
    </row>
    <row r="69" spans="1:16" x14ac:dyDescent="0.3">
      <c r="A69" s="1" t="s">
        <v>59</v>
      </c>
      <c r="B69" s="1" t="s">
        <v>148</v>
      </c>
      <c r="C69" s="1"/>
      <c r="D69" s="1"/>
    </row>
    <row r="70" spans="1:16" x14ac:dyDescent="0.3">
      <c r="A70" s="1" t="s">
        <v>53</v>
      </c>
      <c r="B70" s="1" t="s">
        <v>148</v>
      </c>
      <c r="C70" s="22" t="s">
        <v>150</v>
      </c>
      <c r="D70" s="22" t="s">
        <v>121</v>
      </c>
      <c r="E70" s="21" t="s">
        <v>123</v>
      </c>
      <c r="F70" s="21" t="s">
        <v>125</v>
      </c>
      <c r="G70" s="21" t="s">
        <v>215</v>
      </c>
    </row>
    <row r="71" spans="1:16" x14ac:dyDescent="0.3">
      <c r="A71" s="1" t="s">
        <v>142</v>
      </c>
      <c r="B71" s="30" t="s">
        <v>143</v>
      </c>
      <c r="C71" s="30" t="s">
        <v>143</v>
      </c>
      <c r="D71" s="30" t="s">
        <v>143</v>
      </c>
      <c r="E71" s="30" t="s">
        <v>143</v>
      </c>
      <c r="F71" s="30" t="s">
        <v>143</v>
      </c>
      <c r="G71" s="30" t="s">
        <v>143</v>
      </c>
    </row>
    <row r="73" spans="1:16" x14ac:dyDescent="0.3">
      <c r="A73" s="1" t="s">
        <v>344</v>
      </c>
      <c r="B73" s="1"/>
      <c r="C73" s="1"/>
      <c r="D73" s="1"/>
      <c r="E73" s="1"/>
      <c r="F73" s="1"/>
      <c r="G73" s="1"/>
    </row>
    <row r="74" spans="1:16" x14ac:dyDescent="0.3">
      <c r="A74" s="1" t="s">
        <v>55</v>
      </c>
      <c r="B74" s="1" t="s">
        <v>222</v>
      </c>
      <c r="C74" s="1"/>
      <c r="D74" s="1"/>
      <c r="E74" s="1"/>
      <c r="F74" s="1"/>
      <c r="G74" s="1"/>
    </row>
    <row r="75" spans="1:16" x14ac:dyDescent="0.3">
      <c r="A75" s="1" t="s">
        <v>59</v>
      </c>
      <c r="B75" s="1" t="s">
        <v>346</v>
      </c>
      <c r="C75" s="1"/>
      <c r="D75" s="1"/>
      <c r="E75" s="1"/>
      <c r="F75" s="1"/>
      <c r="G75" s="1"/>
    </row>
    <row r="76" spans="1:16" ht="16.149999999999999" customHeight="1" x14ac:dyDescent="0.3">
      <c r="A76" s="1" t="s">
        <v>53</v>
      </c>
      <c r="B76" s="1" t="s">
        <v>346</v>
      </c>
      <c r="C76" s="22" t="s">
        <v>150</v>
      </c>
      <c r="D76" s="22" t="s">
        <v>121</v>
      </c>
      <c r="E76" s="21" t="s">
        <v>348</v>
      </c>
      <c r="F76" s="21" t="s">
        <v>350</v>
      </c>
      <c r="G76" s="21" t="s">
        <v>352</v>
      </c>
      <c r="H76" s="21" t="s">
        <v>354</v>
      </c>
      <c r="I76" s="21" t="s">
        <v>125</v>
      </c>
      <c r="J76" s="21" t="s">
        <v>356</v>
      </c>
      <c r="K76" s="21" t="s">
        <v>358</v>
      </c>
      <c r="L76" s="21" t="s">
        <v>370</v>
      </c>
      <c r="M76" s="21" t="s">
        <v>360</v>
      </c>
      <c r="N76" s="19" t="s">
        <v>429</v>
      </c>
      <c r="O76" s="19" t="s">
        <v>425</v>
      </c>
      <c r="P76" s="19" t="s">
        <v>432</v>
      </c>
    </row>
    <row r="77" spans="1:16" x14ac:dyDescent="0.3">
      <c r="A77" s="1" t="s">
        <v>142</v>
      </c>
      <c r="B77" s="30" t="s">
        <v>143</v>
      </c>
      <c r="C77" s="30" t="s">
        <v>143</v>
      </c>
      <c r="D77" s="30" t="s">
        <v>143</v>
      </c>
      <c r="E77" s="30" t="s">
        <v>143</v>
      </c>
      <c r="F77" s="30" t="s">
        <v>143</v>
      </c>
      <c r="G77" s="30" t="s">
        <v>143</v>
      </c>
      <c r="H77" s="30" t="s">
        <v>143</v>
      </c>
      <c r="I77" s="30" t="s">
        <v>143</v>
      </c>
      <c r="J77" s="30" t="s">
        <v>143</v>
      </c>
      <c r="K77" s="30" t="s">
        <v>143</v>
      </c>
      <c r="L77" s="30" t="s">
        <v>143</v>
      </c>
      <c r="M77" s="30" t="s">
        <v>143</v>
      </c>
      <c r="N77" s="30" t="s">
        <v>143</v>
      </c>
      <c r="O77" s="30" t="s">
        <v>143</v>
      </c>
      <c r="P77" s="30" t="s">
        <v>143</v>
      </c>
    </row>
    <row r="79" spans="1:16" x14ac:dyDescent="0.3">
      <c r="A79" s="1" t="s">
        <v>391</v>
      </c>
      <c r="B79" s="1"/>
      <c r="C79" s="1"/>
      <c r="D79" s="1"/>
      <c r="E79" s="1"/>
      <c r="F79" s="1"/>
      <c r="G79" s="1"/>
    </row>
    <row r="80" spans="1:16" x14ac:dyDescent="0.3">
      <c r="A80" s="1" t="s">
        <v>55</v>
      </c>
      <c r="B80" s="1" t="s">
        <v>392</v>
      </c>
      <c r="C80" s="1"/>
      <c r="D80" s="1"/>
      <c r="E80" s="1"/>
      <c r="F80" s="1"/>
      <c r="G80" s="1"/>
    </row>
    <row r="81" spans="1:7" x14ac:dyDescent="0.3">
      <c r="A81" s="1" t="s">
        <v>59</v>
      </c>
      <c r="B81" s="1" t="s">
        <v>393</v>
      </c>
      <c r="C81" s="1"/>
      <c r="D81" s="1"/>
      <c r="E81" s="1"/>
      <c r="F81" s="1"/>
      <c r="G81" s="1"/>
    </row>
    <row r="82" spans="1:7" x14ac:dyDescent="0.3">
      <c r="A82" s="1" t="s">
        <v>53</v>
      </c>
      <c r="B82" s="1" t="s">
        <v>393</v>
      </c>
      <c r="C82" s="22" t="s">
        <v>394</v>
      </c>
      <c r="D82" s="22" t="s">
        <v>395</v>
      </c>
      <c r="E82" s="21" t="s">
        <v>406</v>
      </c>
      <c r="F82" s="21"/>
      <c r="G82" s="21"/>
    </row>
    <row r="83" spans="1:7" x14ac:dyDescent="0.3">
      <c r="A83" s="1" t="s">
        <v>142</v>
      </c>
      <c r="B83" s="30" t="s">
        <v>143</v>
      </c>
      <c r="C83" s="30" t="s">
        <v>143</v>
      </c>
      <c r="D83" s="30" t="s">
        <v>143</v>
      </c>
      <c r="E83" s="30" t="s">
        <v>143</v>
      </c>
      <c r="F83" s="30"/>
      <c r="G83" s="30"/>
    </row>
  </sheetData>
  <phoneticPr fontId="14" type="noConversion"/>
  <dataValidations disablePrompts="1" count="2">
    <dataValidation type="list" allowBlank="1" showInputMessage="1" showErrorMessage="1" sqref="B1" xr:uid="{67838619-9881-4AD6-B737-3FB391F653A6}">
      <formula1>地市公司</formula1>
    </dataValidation>
    <dataValidation type="list" allowBlank="1" showInputMessage="1" showErrorMessage="1" sqref="B2" xr:uid="{C765BFB0-E9A4-4254-94C6-DDC4982B3427}">
      <formula1>INDIRECT(B1)</formula1>
    </dataValidation>
  </dataValidations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.calcLoss">
                <anchor moveWithCells="1" sizeWithCells="1">
                  <from>
                    <xdr:col>6</xdr:col>
                    <xdr:colOff>352425</xdr:colOff>
                    <xdr:row>15</xdr:row>
                    <xdr:rowOff>133350</xdr:rowOff>
                  </from>
                  <to>
                    <xdr:col>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8E69-40F9-44AB-A623-DB998FBC1C97}">
  <sheetPr codeName="Sheet11"/>
  <dimension ref="A1:A16"/>
  <sheetViews>
    <sheetView workbookViewId="0">
      <selection activeCell="F22" sqref="F22"/>
    </sheetView>
  </sheetViews>
  <sheetFormatPr defaultRowHeight="13.5" x14ac:dyDescent="0.3"/>
  <cols>
    <col min="1" max="1" width="13.86328125" bestFit="1" customWidth="1"/>
  </cols>
  <sheetData>
    <row r="1" spans="1:1" x14ac:dyDescent="0.3">
      <c r="A1" t="s">
        <v>435</v>
      </c>
    </row>
    <row r="2" spans="1:1" x14ac:dyDescent="0.3">
      <c r="A2" s="32" t="s">
        <v>436</v>
      </c>
    </row>
    <row r="4" spans="1:1" x14ac:dyDescent="0.3">
      <c r="A4" t="s">
        <v>437</v>
      </c>
    </row>
    <row r="5" spans="1:1" x14ac:dyDescent="0.3">
      <c r="A5" s="32" t="s">
        <v>438</v>
      </c>
    </row>
    <row r="7" spans="1:1" x14ac:dyDescent="0.3">
      <c r="A7" t="s">
        <v>439</v>
      </c>
    </row>
    <row r="8" spans="1:1" x14ac:dyDescent="0.3">
      <c r="A8" s="32" t="s">
        <v>440</v>
      </c>
    </row>
    <row r="10" spans="1:1" x14ac:dyDescent="0.3">
      <c r="A10" t="s">
        <v>441</v>
      </c>
    </row>
    <row r="11" spans="1:1" x14ac:dyDescent="0.3">
      <c r="A11" s="32" t="s">
        <v>442</v>
      </c>
    </row>
    <row r="13" spans="1:1" x14ac:dyDescent="0.3">
      <c r="A13" t="s">
        <v>443</v>
      </c>
    </row>
    <row r="16" spans="1:1" x14ac:dyDescent="0.3">
      <c r="A16" t="s">
        <v>444</v>
      </c>
    </row>
  </sheetData>
  <phoneticPr fontId="1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7C6-996E-43D5-A694-A3F272A6D069}">
  <sheetPr codeName="Sheet6"/>
  <dimension ref="A1:C13"/>
  <sheetViews>
    <sheetView workbookViewId="0">
      <selection activeCell="B7" sqref="B7"/>
    </sheetView>
  </sheetViews>
  <sheetFormatPr defaultRowHeight="13.5" x14ac:dyDescent="0.3"/>
  <cols>
    <col min="1" max="1" width="17" customWidth="1"/>
    <col min="2" max="2" width="19.3984375" customWidth="1"/>
    <col min="3" max="3" width="19.265625" customWidth="1"/>
  </cols>
  <sheetData>
    <row r="1" spans="1:3" x14ac:dyDescent="0.3">
      <c r="A1" t="s">
        <v>179</v>
      </c>
      <c r="B1" t="s">
        <v>197</v>
      </c>
      <c r="C1" t="s">
        <v>201</v>
      </c>
    </row>
    <row r="2" spans="1:3" x14ac:dyDescent="0.3">
      <c r="A2" t="s">
        <v>180</v>
      </c>
      <c r="B2" t="s">
        <v>198</v>
      </c>
      <c r="C2" t="s">
        <v>202</v>
      </c>
    </row>
    <row r="3" spans="1:3" x14ac:dyDescent="0.3">
      <c r="A3" t="s">
        <v>181</v>
      </c>
      <c r="B3" t="s">
        <v>199</v>
      </c>
      <c r="C3" t="s">
        <v>203</v>
      </c>
    </row>
    <row r="4" spans="1:3" x14ac:dyDescent="0.3">
      <c r="A4" t="s">
        <v>182</v>
      </c>
      <c r="B4" t="s">
        <v>200</v>
      </c>
      <c r="C4" t="s">
        <v>204</v>
      </c>
    </row>
    <row r="5" spans="1:3" x14ac:dyDescent="0.3">
      <c r="A5" t="s">
        <v>183</v>
      </c>
      <c r="C5" t="s">
        <v>205</v>
      </c>
    </row>
    <row r="6" spans="1:3" x14ac:dyDescent="0.3">
      <c r="A6" t="s">
        <v>184</v>
      </c>
      <c r="C6" t="s">
        <v>206</v>
      </c>
    </row>
    <row r="7" spans="1:3" x14ac:dyDescent="0.3">
      <c r="A7" t="s">
        <v>185</v>
      </c>
    </row>
    <row r="8" spans="1:3" x14ac:dyDescent="0.3">
      <c r="A8" t="s">
        <v>186</v>
      </c>
    </row>
    <row r="9" spans="1:3" x14ac:dyDescent="0.3">
      <c r="A9" t="s">
        <v>187</v>
      </c>
    </row>
    <row r="10" spans="1:3" x14ac:dyDescent="0.3">
      <c r="A10" t="s">
        <v>188</v>
      </c>
    </row>
    <row r="11" spans="1:3" x14ac:dyDescent="0.3">
      <c r="A11" t="s">
        <v>189</v>
      </c>
    </row>
    <row r="12" spans="1:3" x14ac:dyDescent="0.3">
      <c r="A12" t="s">
        <v>190</v>
      </c>
    </row>
    <row r="13" spans="1:3" x14ac:dyDescent="0.3">
      <c r="A13" t="s">
        <v>191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P112"/>
  <sheetViews>
    <sheetView topLeftCell="A73" workbookViewId="0">
      <selection activeCell="A98" sqref="A98"/>
    </sheetView>
  </sheetViews>
  <sheetFormatPr defaultRowHeight="13.5" x14ac:dyDescent="0.3"/>
  <cols>
    <col min="1" max="1" width="16.3984375" customWidth="1"/>
    <col min="2" max="2" width="15.1328125" customWidth="1"/>
    <col min="3" max="3" width="13.73046875" customWidth="1"/>
    <col min="4" max="4" width="14.3984375" customWidth="1"/>
    <col min="5" max="5" width="15.265625" customWidth="1"/>
    <col min="6" max="6" width="17.265625" customWidth="1"/>
    <col min="7" max="7" width="19.46484375" customWidth="1"/>
    <col min="8" max="8" width="20.46484375" bestFit="1" customWidth="1"/>
    <col min="9" max="9" width="12.73046875" bestFit="1" customWidth="1"/>
    <col min="10" max="10" width="17.59765625" customWidth="1"/>
    <col min="11" max="11" width="19.3984375" bestFit="1" customWidth="1"/>
    <col min="12" max="12" width="14.86328125" customWidth="1"/>
    <col min="13" max="13" width="13.46484375" customWidth="1"/>
    <col min="14" max="14" width="15.73046875" customWidth="1"/>
    <col min="15" max="15" width="15.86328125" customWidth="1"/>
    <col min="16" max="16" width="18.1328125" customWidth="1"/>
  </cols>
  <sheetData>
    <row r="2" spans="1:8" ht="17.45" customHeight="1" x14ac:dyDescent="0.3">
      <c r="A2" t="s">
        <v>149</v>
      </c>
      <c r="B2" s="1" t="s">
        <v>102</v>
      </c>
    </row>
    <row r="3" spans="1:8" ht="16.149999999999999" x14ac:dyDescent="0.3">
      <c r="A3" s="33" t="s">
        <v>79</v>
      </c>
      <c r="B3" s="21" t="s">
        <v>17</v>
      </c>
      <c r="C3" s="21" t="s">
        <v>19</v>
      </c>
      <c r="D3" s="22" t="s">
        <v>18</v>
      </c>
      <c r="E3" s="19"/>
      <c r="F3" s="19"/>
      <c r="G3" s="19"/>
      <c r="H3" s="19"/>
    </row>
    <row r="4" spans="1:8" x14ac:dyDescent="0.3">
      <c r="A4" t="s">
        <v>75</v>
      </c>
      <c r="C4" t="s">
        <v>71</v>
      </c>
      <c r="D4" t="s">
        <v>72</v>
      </c>
    </row>
    <row r="5" spans="1:8" x14ac:dyDescent="0.3">
      <c r="A5" t="s">
        <v>76</v>
      </c>
      <c r="B5" s="32" t="s">
        <v>73</v>
      </c>
      <c r="C5" s="32" t="s">
        <v>74</v>
      </c>
      <c r="D5" s="32" t="s">
        <v>74</v>
      </c>
    </row>
    <row r="6" spans="1:8" x14ac:dyDescent="0.3">
      <c r="A6" t="s">
        <v>77</v>
      </c>
    </row>
    <row r="7" spans="1:8" s="1" customFormat="1" x14ac:dyDescent="0.3">
      <c r="A7" s="1" t="s">
        <v>80</v>
      </c>
    </row>
    <row r="8" spans="1:8" x14ac:dyDescent="0.3">
      <c r="A8" t="s">
        <v>78</v>
      </c>
    </row>
    <row r="10" spans="1:8" x14ac:dyDescent="0.3">
      <c r="A10" s="1" t="s">
        <v>223</v>
      </c>
      <c r="B10" s="1" t="s">
        <v>85</v>
      </c>
      <c r="C10" s="1"/>
      <c r="D10" s="1"/>
    </row>
    <row r="11" spans="1:8" x14ac:dyDescent="0.3">
      <c r="A11" s="33" t="s">
        <v>79</v>
      </c>
      <c r="B11" s="21" t="s">
        <v>46</v>
      </c>
      <c r="C11" s="21" t="s">
        <v>47</v>
      </c>
      <c r="D11" s="22" t="s">
        <v>48</v>
      </c>
      <c r="E11" s="19" t="s">
        <v>57</v>
      </c>
      <c r="F11" s="19" t="s">
        <v>81</v>
      </c>
      <c r="G11" s="19" t="s">
        <v>82</v>
      </c>
      <c r="H11" s="19" t="s">
        <v>58</v>
      </c>
    </row>
    <row r="12" spans="1:8" x14ac:dyDescent="0.3">
      <c r="A12" s="1" t="s">
        <v>75</v>
      </c>
      <c r="B12" s="1"/>
      <c r="C12" s="1" t="s">
        <v>83</v>
      </c>
      <c r="D12" s="1" t="s">
        <v>49</v>
      </c>
      <c r="E12" s="1" t="s">
        <v>102</v>
      </c>
      <c r="F12" t="s">
        <v>71</v>
      </c>
      <c r="G12" t="s">
        <v>72</v>
      </c>
      <c r="H12" t="s">
        <v>84</v>
      </c>
    </row>
    <row r="13" spans="1:8" x14ac:dyDescent="0.3">
      <c r="A13" s="1" t="s">
        <v>76</v>
      </c>
      <c r="B13" s="32" t="s">
        <v>73</v>
      </c>
      <c r="C13" s="32" t="s">
        <v>74</v>
      </c>
      <c r="D13" s="32" t="s">
        <v>74</v>
      </c>
      <c r="E13" s="32" t="s">
        <v>74</v>
      </c>
      <c r="F13" s="32" t="s">
        <v>74</v>
      </c>
      <c r="G13" s="32" t="s">
        <v>74</v>
      </c>
      <c r="H13" s="32" t="s">
        <v>74</v>
      </c>
    </row>
    <row r="14" spans="1:8" x14ac:dyDescent="0.3">
      <c r="A14" s="1" t="s">
        <v>77</v>
      </c>
      <c r="B14" s="1"/>
      <c r="C14" s="1"/>
      <c r="D14" s="1"/>
    </row>
    <row r="15" spans="1:8" x14ac:dyDescent="0.3">
      <c r="A15" s="1" t="s">
        <v>80</v>
      </c>
      <c r="B15" s="1"/>
      <c r="C15" s="1"/>
      <c r="D15" s="1"/>
    </row>
    <row r="16" spans="1:8" x14ac:dyDescent="0.3">
      <c r="A16" s="1" t="s">
        <v>78</v>
      </c>
      <c r="B16" s="1"/>
      <c r="C16" s="1"/>
      <c r="D16" s="1"/>
    </row>
    <row r="18" spans="1:12" x14ac:dyDescent="0.3">
      <c r="A18" s="1" t="s">
        <v>224</v>
      </c>
      <c r="B18" s="1" t="s">
        <v>221</v>
      </c>
      <c r="C18" s="1"/>
      <c r="D18" s="1"/>
      <c r="E18" s="1"/>
      <c r="F18" s="1"/>
    </row>
    <row r="19" spans="1:12" x14ac:dyDescent="0.3">
      <c r="A19" s="33" t="s">
        <v>79</v>
      </c>
      <c r="B19" s="21" t="s">
        <v>52</v>
      </c>
      <c r="C19" s="21" t="s">
        <v>50</v>
      </c>
      <c r="D19" s="19" t="s">
        <v>61</v>
      </c>
      <c r="E19" t="s">
        <v>62</v>
      </c>
      <c r="F19" t="s">
        <v>64</v>
      </c>
      <c r="G19" t="s">
        <v>65</v>
      </c>
      <c r="H19" t="s">
        <v>66</v>
      </c>
      <c r="I19" t="s">
        <v>67</v>
      </c>
      <c r="J19" t="s">
        <v>86</v>
      </c>
      <c r="K19" t="s">
        <v>87</v>
      </c>
      <c r="L19" t="s">
        <v>88</v>
      </c>
    </row>
    <row r="20" spans="1:12" x14ac:dyDescent="0.3">
      <c r="A20" s="1" t="s">
        <v>75</v>
      </c>
      <c r="B20" s="1"/>
      <c r="C20" s="1" t="s">
        <v>89</v>
      </c>
      <c r="D20" s="1" t="s">
        <v>92</v>
      </c>
      <c r="E20" t="s">
        <v>93</v>
      </c>
      <c r="F20" t="s">
        <v>94</v>
      </c>
      <c r="G20" s="32" t="s">
        <v>97</v>
      </c>
      <c r="H20" s="32" t="s">
        <v>95</v>
      </c>
      <c r="I20" s="32" t="s">
        <v>96</v>
      </c>
      <c r="J20" t="s">
        <v>98</v>
      </c>
      <c r="K20" t="s">
        <v>99</v>
      </c>
      <c r="L20" t="s">
        <v>100</v>
      </c>
    </row>
    <row r="21" spans="1:12" x14ac:dyDescent="0.3">
      <c r="A21" s="1" t="s">
        <v>76</v>
      </c>
      <c r="B21" s="32" t="s">
        <v>73</v>
      </c>
      <c r="C21" s="32" t="s">
        <v>74</v>
      </c>
      <c r="D21" s="32" t="s">
        <v>74</v>
      </c>
      <c r="E21" s="32" t="s">
        <v>74</v>
      </c>
      <c r="F21" s="32" t="s">
        <v>74</v>
      </c>
      <c r="G21" s="32" t="s">
        <v>74</v>
      </c>
      <c r="H21" s="32" t="s">
        <v>74</v>
      </c>
      <c r="I21" s="32" t="s">
        <v>74</v>
      </c>
      <c r="J21" s="32" t="s">
        <v>74</v>
      </c>
      <c r="K21" s="32" t="s">
        <v>74</v>
      </c>
      <c r="L21" s="32" t="s">
        <v>74</v>
      </c>
    </row>
    <row r="22" spans="1:12" x14ac:dyDescent="0.3">
      <c r="A22" s="1" t="s">
        <v>77</v>
      </c>
      <c r="B22" s="1"/>
      <c r="C22" s="32" t="s">
        <v>90</v>
      </c>
      <c r="D22" s="1" t="s">
        <v>90</v>
      </c>
      <c r="E22" s="1" t="s">
        <v>90</v>
      </c>
    </row>
    <row r="23" spans="1:12" x14ac:dyDescent="0.3">
      <c r="A23" s="1" t="s">
        <v>80</v>
      </c>
      <c r="B23" s="1"/>
      <c r="C23" s="22" t="s">
        <v>51</v>
      </c>
      <c r="D23" s="19" t="s">
        <v>61</v>
      </c>
      <c r="E23" s="1" t="s">
        <v>63</v>
      </c>
    </row>
    <row r="24" spans="1:12" x14ac:dyDescent="0.3">
      <c r="A24" s="1" t="s">
        <v>78</v>
      </c>
      <c r="B24" s="1"/>
      <c r="C24" s="32" t="s">
        <v>91</v>
      </c>
      <c r="D24" s="1" t="s">
        <v>91</v>
      </c>
      <c r="E24" s="1" t="s">
        <v>91</v>
      </c>
    </row>
    <row r="25" spans="1:12" s="1" customFormat="1" x14ac:dyDescent="0.3">
      <c r="C25" s="32"/>
    </row>
    <row r="26" spans="1:12" s="1" customFormat="1" x14ac:dyDescent="0.3">
      <c r="A26" s="1" t="s">
        <v>227</v>
      </c>
      <c r="B26" s="1" t="s">
        <v>70</v>
      </c>
    </row>
    <row r="27" spans="1:12" s="1" customFormat="1" ht="15.6" customHeight="1" x14ac:dyDescent="0.3">
      <c r="A27" s="33" t="s">
        <v>79</v>
      </c>
      <c r="B27" s="21" t="s">
        <v>228</v>
      </c>
      <c r="C27" s="21" t="s">
        <v>154</v>
      </c>
      <c r="D27" s="21" t="s">
        <v>155</v>
      </c>
      <c r="E27" s="22" t="s">
        <v>103</v>
      </c>
      <c r="F27" s="22" t="s">
        <v>104</v>
      </c>
      <c r="G27" s="22" t="s">
        <v>108</v>
      </c>
      <c r="H27" s="22" t="s">
        <v>109</v>
      </c>
      <c r="I27" s="21" t="s">
        <v>112</v>
      </c>
    </row>
    <row r="28" spans="1:12" s="1" customFormat="1" x14ac:dyDescent="0.3">
      <c r="A28" s="1" t="s">
        <v>75</v>
      </c>
      <c r="C28" s="1" t="s">
        <v>156</v>
      </c>
      <c r="D28" s="1" t="s">
        <v>158</v>
      </c>
      <c r="E28" s="1" t="s">
        <v>105</v>
      </c>
      <c r="F28" s="1" t="s">
        <v>106</v>
      </c>
      <c r="G28" s="1" t="s">
        <v>110</v>
      </c>
      <c r="H28" s="1" t="s">
        <v>111</v>
      </c>
      <c r="I28" s="1" t="s">
        <v>113</v>
      </c>
    </row>
    <row r="29" spans="1:12" s="1" customFormat="1" x14ac:dyDescent="0.3">
      <c r="A29" s="1" t="s">
        <v>76</v>
      </c>
      <c r="B29" s="32" t="s">
        <v>73</v>
      </c>
      <c r="C29" s="32" t="s">
        <v>74</v>
      </c>
      <c r="D29" s="32" t="s">
        <v>74</v>
      </c>
      <c r="E29" s="32" t="s">
        <v>74</v>
      </c>
      <c r="F29" s="32" t="s">
        <v>74</v>
      </c>
      <c r="G29" s="32" t="s">
        <v>74</v>
      </c>
      <c r="H29" s="32" t="s">
        <v>74</v>
      </c>
      <c r="I29" s="32" t="s">
        <v>74</v>
      </c>
    </row>
    <row r="30" spans="1:12" s="1" customFormat="1" x14ac:dyDescent="0.3">
      <c r="A30" s="1" t="s">
        <v>77</v>
      </c>
      <c r="E30" s="32" t="s">
        <v>90</v>
      </c>
      <c r="F30" s="32" t="s">
        <v>90</v>
      </c>
      <c r="G30" s="32"/>
      <c r="H30" s="32"/>
    </row>
    <row r="31" spans="1:12" s="1" customFormat="1" x14ac:dyDescent="0.3">
      <c r="A31" s="1" t="s">
        <v>80</v>
      </c>
    </row>
    <row r="32" spans="1:12" s="1" customFormat="1" x14ac:dyDescent="0.3">
      <c r="A32" s="1" t="s">
        <v>78</v>
      </c>
      <c r="E32" s="32" t="s">
        <v>91</v>
      </c>
      <c r="F32" s="32" t="s">
        <v>91</v>
      </c>
      <c r="G32" s="32"/>
      <c r="H32" s="32"/>
    </row>
    <row r="33" spans="1:9" x14ac:dyDescent="0.3">
      <c r="A33" s="1"/>
      <c r="B33" s="1"/>
      <c r="C33" s="1"/>
      <c r="D33" s="1"/>
      <c r="E33" s="1"/>
      <c r="F33" s="1"/>
    </row>
    <row r="34" spans="1:9" x14ac:dyDescent="0.3">
      <c r="A34" s="1" t="s">
        <v>101</v>
      </c>
      <c r="B34" s="1" t="s">
        <v>70</v>
      </c>
      <c r="C34" s="1"/>
      <c r="D34" s="1"/>
    </row>
    <row r="35" spans="1:9" x14ac:dyDescent="0.3">
      <c r="A35" s="33" t="s">
        <v>79</v>
      </c>
      <c r="B35" s="21" t="s">
        <v>107</v>
      </c>
      <c r="C35" s="21" t="s">
        <v>154</v>
      </c>
      <c r="D35" s="21" t="s">
        <v>155</v>
      </c>
      <c r="E35" s="22" t="s">
        <v>103</v>
      </c>
      <c r="F35" s="22" t="s">
        <v>104</v>
      </c>
      <c r="G35" s="22" t="s">
        <v>108</v>
      </c>
      <c r="H35" s="22" t="s">
        <v>109</v>
      </c>
      <c r="I35" s="21" t="s">
        <v>112</v>
      </c>
    </row>
    <row r="36" spans="1:9" x14ac:dyDescent="0.3">
      <c r="A36" s="1" t="s">
        <v>75</v>
      </c>
      <c r="B36" s="1"/>
      <c r="C36" s="1" t="s">
        <v>156</v>
      </c>
      <c r="D36" s="1" t="s">
        <v>158</v>
      </c>
      <c r="E36" s="1" t="s">
        <v>105</v>
      </c>
      <c r="F36" s="1" t="s">
        <v>106</v>
      </c>
      <c r="G36" s="1" t="s">
        <v>110</v>
      </c>
      <c r="H36" s="1" t="s">
        <v>111</v>
      </c>
      <c r="I36" t="s">
        <v>113</v>
      </c>
    </row>
    <row r="37" spans="1:9" x14ac:dyDescent="0.3">
      <c r="A37" s="1" t="s">
        <v>76</v>
      </c>
      <c r="B37" s="32" t="s">
        <v>73</v>
      </c>
      <c r="C37" s="32" t="s">
        <v>157</v>
      </c>
      <c r="D37" s="32" t="s">
        <v>157</v>
      </c>
      <c r="E37" s="32" t="s">
        <v>74</v>
      </c>
      <c r="F37" s="32" t="s">
        <v>74</v>
      </c>
      <c r="G37" s="32" t="s">
        <v>74</v>
      </c>
      <c r="H37" s="32" t="s">
        <v>74</v>
      </c>
      <c r="I37" s="32" t="s">
        <v>74</v>
      </c>
    </row>
    <row r="38" spans="1:9" x14ac:dyDescent="0.3">
      <c r="A38" s="1" t="s">
        <v>77</v>
      </c>
      <c r="B38" s="1"/>
      <c r="C38" s="1"/>
      <c r="D38" s="1"/>
      <c r="E38" s="32" t="s">
        <v>90</v>
      </c>
      <c r="F38" s="32" t="s">
        <v>90</v>
      </c>
      <c r="G38" s="32"/>
      <c r="H38" s="32"/>
    </row>
    <row r="39" spans="1:9" x14ac:dyDescent="0.3">
      <c r="A39" s="1" t="s">
        <v>80</v>
      </c>
      <c r="B39" s="1"/>
      <c r="C39" s="1"/>
      <c r="D39" s="1"/>
      <c r="E39" s="1"/>
      <c r="F39" s="1"/>
      <c r="G39" s="1"/>
      <c r="H39" s="1"/>
    </row>
    <row r="40" spans="1:9" x14ac:dyDescent="0.3">
      <c r="A40" s="1" t="s">
        <v>78</v>
      </c>
      <c r="B40" s="1"/>
      <c r="C40" s="1"/>
      <c r="D40" s="1"/>
      <c r="E40" s="32" t="s">
        <v>91</v>
      </c>
      <c r="F40" s="32" t="s">
        <v>91</v>
      </c>
      <c r="G40" s="32"/>
      <c r="H40" s="32"/>
    </row>
    <row r="42" spans="1:9" x14ac:dyDescent="0.3">
      <c r="A42" s="1" t="s">
        <v>114</v>
      </c>
      <c r="B42" s="1" t="s">
        <v>70</v>
      </c>
      <c r="C42" s="1"/>
      <c r="D42" s="1"/>
      <c r="E42" s="1"/>
      <c r="F42" s="1"/>
      <c r="G42" s="1"/>
      <c r="H42" s="1"/>
    </row>
    <row r="43" spans="1:9" x14ac:dyDescent="0.3">
      <c r="A43" s="33" t="s">
        <v>79</v>
      </c>
      <c r="B43" s="21" t="s">
        <v>117</v>
      </c>
      <c r="C43" s="21" t="s">
        <v>154</v>
      </c>
      <c r="D43" s="21" t="s">
        <v>155</v>
      </c>
      <c r="E43" s="22" t="s">
        <v>116</v>
      </c>
      <c r="F43" s="22" t="s">
        <v>115</v>
      </c>
      <c r="G43" s="21" t="s">
        <v>112</v>
      </c>
    </row>
    <row r="44" spans="1:9" x14ac:dyDescent="0.3">
      <c r="A44" s="1" t="s">
        <v>75</v>
      </c>
      <c r="B44" s="1"/>
      <c r="C44" s="1" t="s">
        <v>156</v>
      </c>
      <c r="D44" s="1" t="s">
        <v>158</v>
      </c>
      <c r="E44" s="1" t="s">
        <v>105</v>
      </c>
      <c r="F44" s="1" t="s">
        <v>110</v>
      </c>
      <c r="G44" s="1" t="s">
        <v>113</v>
      </c>
    </row>
    <row r="45" spans="1:9" x14ac:dyDescent="0.3">
      <c r="A45" s="1" t="s">
        <v>76</v>
      </c>
      <c r="B45" s="32" t="s">
        <v>73</v>
      </c>
      <c r="C45" s="32" t="s">
        <v>157</v>
      </c>
      <c r="D45" s="32" t="s">
        <v>157</v>
      </c>
      <c r="E45" s="32" t="s">
        <v>74</v>
      </c>
      <c r="F45" s="32" t="s">
        <v>74</v>
      </c>
      <c r="G45" s="32" t="s">
        <v>74</v>
      </c>
    </row>
    <row r="46" spans="1:9" x14ac:dyDescent="0.3">
      <c r="A46" s="1" t="s">
        <v>77</v>
      </c>
      <c r="B46" s="1"/>
      <c r="C46" s="1"/>
      <c r="D46" s="1"/>
      <c r="E46" s="32" t="s">
        <v>90</v>
      </c>
      <c r="F46" s="32"/>
      <c r="G46" s="32"/>
      <c r="H46" s="32"/>
      <c r="I46" s="1"/>
    </row>
    <row r="47" spans="1:9" x14ac:dyDescent="0.3">
      <c r="A47" s="1" t="s">
        <v>80</v>
      </c>
      <c r="B47" s="1"/>
      <c r="C47" s="1"/>
      <c r="D47" s="1"/>
      <c r="E47" s="1"/>
      <c r="F47" s="1"/>
      <c r="G47" s="1"/>
      <c r="H47" s="1"/>
      <c r="I47" s="1"/>
    </row>
    <row r="48" spans="1:9" x14ac:dyDescent="0.3">
      <c r="A48" s="1" t="s">
        <v>78</v>
      </c>
      <c r="B48" s="1"/>
      <c r="C48" s="1"/>
      <c r="D48" s="1"/>
      <c r="E48" s="32" t="s">
        <v>91</v>
      </c>
      <c r="F48" s="32"/>
      <c r="G48" s="32"/>
      <c r="H48" s="32"/>
      <c r="I48" s="1"/>
    </row>
    <row r="49" spans="1:9" x14ac:dyDescent="0.3">
      <c r="A49" s="1"/>
      <c r="B49" s="1"/>
      <c r="C49" s="1"/>
      <c r="D49" s="1"/>
      <c r="E49" s="1"/>
      <c r="F49" s="1"/>
      <c r="G49" s="1"/>
      <c r="H49" s="1"/>
    </row>
    <row r="50" spans="1:9" x14ac:dyDescent="0.3">
      <c r="A50" t="s">
        <v>118</v>
      </c>
      <c r="B50" t="s">
        <v>119</v>
      </c>
    </row>
    <row r="51" spans="1:9" x14ac:dyDescent="0.3">
      <c r="A51" s="33" t="s">
        <v>79</v>
      </c>
      <c r="B51" s="21" t="s">
        <v>120</v>
      </c>
      <c r="C51" s="22" t="s">
        <v>150</v>
      </c>
      <c r="D51" s="22" t="s">
        <v>121</v>
      </c>
      <c r="E51" s="21" t="s">
        <v>123</v>
      </c>
      <c r="F51" s="21" t="s">
        <v>125</v>
      </c>
      <c r="G51" s="21" t="s">
        <v>127</v>
      </c>
      <c r="H51" s="21" t="s">
        <v>129</v>
      </c>
    </row>
    <row r="52" spans="1:9" x14ac:dyDescent="0.3">
      <c r="A52" s="1" t="s">
        <v>75</v>
      </c>
      <c r="B52" s="1"/>
      <c r="C52" s="1" t="s">
        <v>83</v>
      </c>
      <c r="D52" s="1" t="s">
        <v>122</v>
      </c>
      <c r="E52" s="1" t="s">
        <v>124</v>
      </c>
      <c r="F52" t="s">
        <v>126</v>
      </c>
      <c r="G52" t="s">
        <v>128</v>
      </c>
      <c r="H52" t="s">
        <v>130</v>
      </c>
    </row>
    <row r="53" spans="1:9" x14ac:dyDescent="0.3">
      <c r="A53" s="1" t="s">
        <v>76</v>
      </c>
      <c r="B53" s="32" t="s">
        <v>73</v>
      </c>
      <c r="C53" s="32" t="s">
        <v>74</v>
      </c>
      <c r="D53" s="32" t="s">
        <v>74</v>
      </c>
      <c r="E53" s="32" t="s">
        <v>74</v>
      </c>
      <c r="F53" s="32" t="s">
        <v>74</v>
      </c>
      <c r="G53" s="32" t="s">
        <v>74</v>
      </c>
      <c r="H53" s="32" t="s">
        <v>74</v>
      </c>
    </row>
    <row r="54" spans="1:9" x14ac:dyDescent="0.3">
      <c r="A54" s="1" t="s">
        <v>77</v>
      </c>
      <c r="B54" s="1"/>
      <c r="C54" s="32"/>
      <c r="D54" s="32"/>
      <c r="E54" s="32"/>
    </row>
    <row r="55" spans="1:9" x14ac:dyDescent="0.3">
      <c r="A55" s="1" t="s">
        <v>80</v>
      </c>
      <c r="B55" s="1"/>
      <c r="C55" s="1"/>
      <c r="D55" s="1"/>
      <c r="E55" s="1"/>
    </row>
    <row r="56" spans="1:9" x14ac:dyDescent="0.3">
      <c r="A56" s="1" t="s">
        <v>78</v>
      </c>
      <c r="B56" s="1"/>
      <c r="C56" s="32"/>
      <c r="D56" s="32"/>
      <c r="E56" s="32"/>
    </row>
    <row r="58" spans="1:9" x14ac:dyDescent="0.3">
      <c r="A58" t="s">
        <v>131</v>
      </c>
      <c r="B58" t="s">
        <v>132</v>
      </c>
    </row>
    <row r="59" spans="1:9" x14ac:dyDescent="0.3">
      <c r="A59" s="33" t="s">
        <v>79</v>
      </c>
      <c r="B59" s="21" t="s">
        <v>133</v>
      </c>
      <c r="C59" s="22" t="s">
        <v>150</v>
      </c>
      <c r="D59" s="22" t="s">
        <v>121</v>
      </c>
      <c r="E59" s="21" t="s">
        <v>123</v>
      </c>
      <c r="F59" s="21" t="s">
        <v>125</v>
      </c>
      <c r="G59" s="21" t="s">
        <v>127</v>
      </c>
      <c r="H59" s="21" t="s">
        <v>215</v>
      </c>
      <c r="I59" s="21" t="s">
        <v>134</v>
      </c>
    </row>
    <row r="60" spans="1:9" x14ac:dyDescent="0.3">
      <c r="A60" s="1" t="s">
        <v>75</v>
      </c>
      <c r="B60" s="1"/>
      <c r="C60" s="1" t="s">
        <v>83</v>
      </c>
      <c r="D60" s="1" t="s">
        <v>122</v>
      </c>
      <c r="E60" s="1" t="s">
        <v>124</v>
      </c>
      <c r="F60" s="1" t="s">
        <v>126</v>
      </c>
      <c r="G60" s="1" t="s">
        <v>128</v>
      </c>
      <c r="H60" s="1" t="s">
        <v>130</v>
      </c>
      <c r="I60" t="s">
        <v>135</v>
      </c>
    </row>
    <row r="61" spans="1:9" x14ac:dyDescent="0.3">
      <c r="A61" s="1" t="s">
        <v>76</v>
      </c>
      <c r="B61" s="32" t="s">
        <v>73</v>
      </c>
      <c r="C61" s="32" t="s">
        <v>74</v>
      </c>
      <c r="D61" s="32" t="s">
        <v>74</v>
      </c>
      <c r="E61" s="32" t="s">
        <v>74</v>
      </c>
      <c r="F61" s="32" t="s">
        <v>74</v>
      </c>
      <c r="G61" s="32" t="s">
        <v>74</v>
      </c>
      <c r="H61" s="32" t="s">
        <v>74</v>
      </c>
      <c r="I61" s="32" t="s">
        <v>74</v>
      </c>
    </row>
    <row r="62" spans="1:9" x14ac:dyDescent="0.3">
      <c r="A62" s="1" t="s">
        <v>77</v>
      </c>
      <c r="B62" s="1"/>
      <c r="C62" s="32"/>
      <c r="D62" s="32"/>
      <c r="E62" s="32"/>
      <c r="F62" s="1"/>
      <c r="G62" s="1"/>
      <c r="H62" s="1"/>
    </row>
    <row r="63" spans="1:9" x14ac:dyDescent="0.3">
      <c r="A63" s="1" t="s">
        <v>80</v>
      </c>
      <c r="B63" s="1"/>
      <c r="C63" s="1"/>
      <c r="D63" s="1"/>
      <c r="E63" s="1"/>
      <c r="F63" s="1"/>
      <c r="G63" s="1"/>
      <c r="H63" s="1"/>
    </row>
    <row r="64" spans="1:9" x14ac:dyDescent="0.3">
      <c r="A64" s="1" t="s">
        <v>78</v>
      </c>
      <c r="B64" s="1"/>
      <c r="C64" s="32"/>
      <c r="D64" s="32"/>
      <c r="E64" s="32"/>
      <c r="F64" s="1"/>
      <c r="G64" s="1"/>
      <c r="H64" s="1"/>
    </row>
    <row r="66" spans="1:9" x14ac:dyDescent="0.3">
      <c r="A66" s="1" t="s">
        <v>219</v>
      </c>
      <c r="B66" s="1" t="s">
        <v>70</v>
      </c>
      <c r="C66" s="1"/>
      <c r="D66" s="1"/>
      <c r="E66" s="1"/>
      <c r="F66" s="1"/>
      <c r="G66" s="1"/>
      <c r="H66" s="1"/>
      <c r="I66" s="1"/>
    </row>
    <row r="67" spans="1:9" x14ac:dyDescent="0.3">
      <c r="A67" s="33" t="s">
        <v>79</v>
      </c>
      <c r="B67" s="21" t="s">
        <v>220</v>
      </c>
      <c r="C67" s="21" t="s">
        <v>154</v>
      </c>
      <c r="D67" s="21" t="s">
        <v>155</v>
      </c>
      <c r="E67" s="22" t="s">
        <v>103</v>
      </c>
      <c r="F67" s="22" t="s">
        <v>104</v>
      </c>
      <c r="G67" s="22" t="s">
        <v>108</v>
      </c>
      <c r="H67" s="22" t="s">
        <v>109</v>
      </c>
      <c r="I67" s="21" t="s">
        <v>112</v>
      </c>
    </row>
    <row r="68" spans="1:9" x14ac:dyDescent="0.3">
      <c r="A68" s="1" t="s">
        <v>75</v>
      </c>
      <c r="B68" s="1"/>
      <c r="C68" s="1" t="s">
        <v>156</v>
      </c>
      <c r="D68" s="1" t="s">
        <v>158</v>
      </c>
      <c r="E68" s="1" t="s">
        <v>105</v>
      </c>
      <c r="F68" s="1" t="s">
        <v>106</v>
      </c>
      <c r="G68" s="1" t="s">
        <v>110</v>
      </c>
      <c r="H68" s="1" t="s">
        <v>111</v>
      </c>
      <c r="I68" s="1" t="s">
        <v>113</v>
      </c>
    </row>
    <row r="69" spans="1:9" x14ac:dyDescent="0.3">
      <c r="A69" s="1" t="s">
        <v>76</v>
      </c>
      <c r="B69" s="32" t="s">
        <v>73</v>
      </c>
      <c r="C69" s="32" t="s">
        <v>74</v>
      </c>
      <c r="D69" s="32" t="s">
        <v>74</v>
      </c>
      <c r="E69" s="32" t="s">
        <v>74</v>
      </c>
      <c r="F69" s="32" t="s">
        <v>74</v>
      </c>
      <c r="G69" s="32" t="s">
        <v>74</v>
      </c>
      <c r="H69" s="32" t="s">
        <v>74</v>
      </c>
      <c r="I69" s="32" t="s">
        <v>74</v>
      </c>
    </row>
    <row r="70" spans="1:9" x14ac:dyDescent="0.3">
      <c r="A70" s="1" t="s">
        <v>77</v>
      </c>
      <c r="B70" s="1"/>
      <c r="C70" s="1"/>
      <c r="D70" s="1"/>
      <c r="E70" s="32" t="s">
        <v>90</v>
      </c>
      <c r="F70" s="32" t="s">
        <v>90</v>
      </c>
      <c r="G70" s="32"/>
      <c r="H70" s="32"/>
      <c r="I70" s="1"/>
    </row>
    <row r="71" spans="1:9" x14ac:dyDescent="0.3">
      <c r="A71" s="1" t="s">
        <v>80</v>
      </c>
      <c r="B71" s="1"/>
      <c r="C71" s="1"/>
      <c r="D71" s="1"/>
      <c r="E71" s="1"/>
      <c r="F71" s="1"/>
      <c r="G71" s="1"/>
      <c r="H71" s="1"/>
      <c r="I71" s="1"/>
    </row>
    <row r="72" spans="1:9" x14ac:dyDescent="0.3">
      <c r="A72" s="1" t="s">
        <v>78</v>
      </c>
      <c r="B72" s="1"/>
      <c r="C72" s="1"/>
      <c r="D72" s="1"/>
      <c r="E72" s="32" t="s">
        <v>91</v>
      </c>
      <c r="F72" s="32" t="s">
        <v>91</v>
      </c>
      <c r="G72" s="32"/>
      <c r="H72" s="32"/>
      <c r="I72" s="1"/>
    </row>
    <row r="74" spans="1:9" x14ac:dyDescent="0.3">
      <c r="A74" t="s">
        <v>316</v>
      </c>
      <c r="B74" t="s">
        <v>317</v>
      </c>
    </row>
    <row r="75" spans="1:9" x14ac:dyDescent="0.3">
      <c r="A75" s="33" t="s">
        <v>79</v>
      </c>
      <c r="B75" s="21" t="s">
        <v>318</v>
      </c>
      <c r="C75" s="21" t="s">
        <v>154</v>
      </c>
      <c r="D75" s="22" t="s">
        <v>319</v>
      </c>
      <c r="E75" s="22" t="s">
        <v>322</v>
      </c>
      <c r="F75" s="22"/>
      <c r="G75" s="22"/>
      <c r="H75" s="21"/>
    </row>
    <row r="76" spans="1:9" x14ac:dyDescent="0.3">
      <c r="A76" s="1" t="s">
        <v>75</v>
      </c>
      <c r="B76" s="1"/>
      <c r="C76" s="1" t="s">
        <v>156</v>
      </c>
      <c r="D76" s="1" t="s">
        <v>320</v>
      </c>
      <c r="E76" s="1" t="s">
        <v>321</v>
      </c>
      <c r="F76" s="1"/>
      <c r="G76" s="1"/>
      <c r="H76" s="1"/>
    </row>
    <row r="77" spans="1:9" x14ac:dyDescent="0.3">
      <c r="A77" s="1" t="s">
        <v>76</v>
      </c>
      <c r="B77" s="32" t="s">
        <v>73</v>
      </c>
      <c r="C77" s="32" t="s">
        <v>74</v>
      </c>
      <c r="D77" s="32" t="s">
        <v>74</v>
      </c>
      <c r="E77" s="32" t="s">
        <v>74</v>
      </c>
      <c r="F77" s="32"/>
      <c r="G77" s="32"/>
      <c r="H77" s="32"/>
    </row>
    <row r="78" spans="1:9" x14ac:dyDescent="0.3">
      <c r="A78" s="1" t="s">
        <v>77</v>
      </c>
      <c r="B78" s="1"/>
      <c r="C78" s="1"/>
      <c r="D78" s="32" t="s">
        <v>90</v>
      </c>
      <c r="E78" s="32" t="s">
        <v>90</v>
      </c>
      <c r="F78" s="32"/>
      <c r="G78" s="32"/>
      <c r="H78" s="1"/>
    </row>
    <row r="79" spans="1:9" x14ac:dyDescent="0.3">
      <c r="A79" s="1" t="s">
        <v>80</v>
      </c>
      <c r="B79" s="1"/>
      <c r="C79" s="1"/>
      <c r="D79" s="1"/>
      <c r="E79" s="1"/>
      <c r="F79" s="1"/>
      <c r="G79" s="1"/>
      <c r="H79" s="1"/>
    </row>
    <row r="80" spans="1:9" x14ac:dyDescent="0.3">
      <c r="A80" s="1" t="s">
        <v>78</v>
      </c>
      <c r="B80" s="1"/>
      <c r="C80" s="1"/>
      <c r="D80" s="32" t="s">
        <v>91</v>
      </c>
      <c r="E80" s="32" t="s">
        <v>91</v>
      </c>
      <c r="F80" s="32"/>
      <c r="G80" s="32"/>
      <c r="H80" s="1"/>
    </row>
    <row r="82" spans="1:5" x14ac:dyDescent="0.3">
      <c r="A82" s="1" t="s">
        <v>332</v>
      </c>
      <c r="B82" s="1" t="s">
        <v>333</v>
      </c>
      <c r="C82" s="1"/>
      <c r="D82" s="1"/>
      <c r="E82" s="1"/>
    </row>
    <row r="83" spans="1:5" x14ac:dyDescent="0.3">
      <c r="A83" s="33" t="s">
        <v>79</v>
      </c>
      <c r="B83" s="21" t="s">
        <v>328</v>
      </c>
      <c r="C83" s="21" t="s">
        <v>154</v>
      </c>
      <c r="D83" s="21" t="s">
        <v>155</v>
      </c>
      <c r="E83" s="22" t="s">
        <v>331</v>
      </c>
    </row>
    <row r="84" spans="1:5" x14ac:dyDescent="0.3">
      <c r="A84" s="1" t="s">
        <v>75</v>
      </c>
      <c r="B84" s="1"/>
      <c r="C84" s="1" t="s">
        <v>156</v>
      </c>
      <c r="D84" s="1" t="s">
        <v>158</v>
      </c>
      <c r="E84" s="1" t="s">
        <v>335</v>
      </c>
    </row>
    <row r="85" spans="1:5" x14ac:dyDescent="0.3">
      <c r="A85" s="1" t="s">
        <v>76</v>
      </c>
      <c r="B85" s="32" t="s">
        <v>73</v>
      </c>
      <c r="C85" s="32" t="s">
        <v>74</v>
      </c>
      <c r="D85" s="32" t="s">
        <v>74</v>
      </c>
      <c r="E85" s="32" t="s">
        <v>74</v>
      </c>
    </row>
    <row r="86" spans="1:5" x14ac:dyDescent="0.3">
      <c r="A86" s="1" t="s">
        <v>77</v>
      </c>
      <c r="B86" s="1"/>
      <c r="C86" s="1"/>
      <c r="D86" s="1"/>
      <c r="E86" s="32" t="s">
        <v>90</v>
      </c>
    </row>
    <row r="87" spans="1:5" x14ac:dyDescent="0.3">
      <c r="A87" s="1" t="s">
        <v>80</v>
      </c>
      <c r="B87" s="1"/>
      <c r="C87" s="1"/>
      <c r="D87" s="1"/>
      <c r="E87" s="1"/>
    </row>
    <row r="88" spans="1:5" x14ac:dyDescent="0.3">
      <c r="A88" s="1" t="s">
        <v>78</v>
      </c>
      <c r="B88" s="1"/>
      <c r="C88" s="1"/>
      <c r="D88" s="1"/>
      <c r="E88" s="32" t="s">
        <v>91</v>
      </c>
    </row>
    <row r="90" spans="1:5" x14ac:dyDescent="0.3">
      <c r="A90" s="1" t="s">
        <v>342</v>
      </c>
      <c r="B90" s="1" t="s">
        <v>70</v>
      </c>
      <c r="C90" s="1"/>
      <c r="D90" s="1"/>
      <c r="E90" s="1"/>
    </row>
    <row r="91" spans="1:5" x14ac:dyDescent="0.3">
      <c r="A91" s="33" t="s">
        <v>79</v>
      </c>
      <c r="B91" s="21" t="s">
        <v>343</v>
      </c>
      <c r="C91" s="21" t="s">
        <v>154</v>
      </c>
      <c r="D91" s="21" t="s">
        <v>155</v>
      </c>
      <c r="E91" s="22" t="s">
        <v>341</v>
      </c>
    </row>
    <row r="92" spans="1:5" x14ac:dyDescent="0.3">
      <c r="A92" s="1" t="s">
        <v>75</v>
      </c>
      <c r="B92" s="1"/>
      <c r="C92" s="1" t="s">
        <v>156</v>
      </c>
      <c r="D92" s="1" t="s">
        <v>158</v>
      </c>
      <c r="E92" s="1" t="s">
        <v>334</v>
      </c>
    </row>
    <row r="93" spans="1:5" x14ac:dyDescent="0.3">
      <c r="A93" s="1" t="s">
        <v>76</v>
      </c>
      <c r="B93" s="32" t="s">
        <v>73</v>
      </c>
      <c r="C93" s="32" t="s">
        <v>74</v>
      </c>
      <c r="D93" s="32" t="s">
        <v>74</v>
      </c>
      <c r="E93" s="32" t="s">
        <v>74</v>
      </c>
    </row>
    <row r="94" spans="1:5" x14ac:dyDescent="0.3">
      <c r="A94" s="1" t="s">
        <v>77</v>
      </c>
      <c r="B94" s="1"/>
      <c r="C94" s="1"/>
      <c r="D94" s="1"/>
      <c r="E94" s="32" t="s">
        <v>90</v>
      </c>
    </row>
    <row r="95" spans="1:5" x14ac:dyDescent="0.3">
      <c r="A95" s="1" t="s">
        <v>80</v>
      </c>
      <c r="B95" s="1"/>
      <c r="C95" s="1"/>
      <c r="D95" s="1"/>
      <c r="E95" s="1"/>
    </row>
    <row r="96" spans="1:5" x14ac:dyDescent="0.3">
      <c r="A96" s="1" t="s">
        <v>78</v>
      </c>
      <c r="B96" s="1"/>
      <c r="C96" s="1"/>
      <c r="D96" s="1"/>
      <c r="E96" s="32" t="s">
        <v>91</v>
      </c>
    </row>
    <row r="98" spans="1:16" x14ac:dyDescent="0.3">
      <c r="A98" s="1" t="s">
        <v>386</v>
      </c>
      <c r="B98" s="1" t="s">
        <v>387</v>
      </c>
      <c r="C98" s="1"/>
      <c r="D98" s="1"/>
      <c r="E98" s="1"/>
      <c r="F98" s="1"/>
      <c r="G98" s="1"/>
      <c r="H98" s="1"/>
      <c r="I98" s="1"/>
    </row>
    <row r="99" spans="1:16" x14ac:dyDescent="0.3">
      <c r="A99" s="33" t="s">
        <v>79</v>
      </c>
      <c r="B99" s="65" t="s">
        <v>345</v>
      </c>
      <c r="C99" s="66" t="s">
        <v>373</v>
      </c>
      <c r="D99" s="66" t="s">
        <v>374</v>
      </c>
      <c r="E99" s="21" t="s">
        <v>347</v>
      </c>
      <c r="F99" s="21" t="s">
        <v>349</v>
      </c>
      <c r="G99" s="21" t="s">
        <v>351</v>
      </c>
      <c r="H99" s="21" t="s">
        <v>353</v>
      </c>
      <c r="I99" s="21" t="s">
        <v>375</v>
      </c>
      <c r="J99" s="19" t="s">
        <v>355</v>
      </c>
      <c r="K99" s="19" t="s">
        <v>357</v>
      </c>
      <c r="L99" s="19" t="s">
        <v>369</v>
      </c>
      <c r="M99" s="19" t="s">
        <v>359</v>
      </c>
      <c r="N99" s="19" t="s">
        <v>429</v>
      </c>
      <c r="O99" s="19" t="s">
        <v>425</v>
      </c>
      <c r="P99" s="19" t="s">
        <v>432</v>
      </c>
    </row>
    <row r="100" spans="1:16" x14ac:dyDescent="0.3">
      <c r="A100" s="1" t="s">
        <v>75</v>
      </c>
      <c r="B100" s="1"/>
      <c r="C100" s="1" t="s">
        <v>83</v>
      </c>
      <c r="D100" s="1" t="s">
        <v>376</v>
      </c>
      <c r="E100" s="1" t="s">
        <v>377</v>
      </c>
      <c r="F100" s="1" t="s">
        <v>378</v>
      </c>
      <c r="G100" s="1" t="s">
        <v>379</v>
      </c>
      <c r="H100" s="1" t="s">
        <v>380</v>
      </c>
      <c r="I100" s="1" t="s">
        <v>381</v>
      </c>
      <c r="J100" t="s">
        <v>382</v>
      </c>
      <c r="K100" t="s">
        <v>385</v>
      </c>
      <c r="L100" t="s">
        <v>383</v>
      </c>
      <c r="M100" t="s">
        <v>384</v>
      </c>
      <c r="N100" s="32" t="s">
        <v>426</v>
      </c>
      <c r="O100" s="32" t="s">
        <v>427</v>
      </c>
      <c r="P100" t="s">
        <v>431</v>
      </c>
    </row>
    <row r="101" spans="1:16" x14ac:dyDescent="0.3">
      <c r="A101" s="1" t="s">
        <v>76</v>
      </c>
      <c r="B101" s="32" t="s">
        <v>73</v>
      </c>
      <c r="C101" s="32" t="s">
        <v>74</v>
      </c>
      <c r="D101" s="32" t="s">
        <v>74</v>
      </c>
      <c r="E101" s="32" t="s">
        <v>74</v>
      </c>
      <c r="F101" s="32" t="s">
        <v>74</v>
      </c>
      <c r="G101" s="32" t="s">
        <v>74</v>
      </c>
      <c r="H101" s="32" t="s">
        <v>74</v>
      </c>
      <c r="I101" s="32" t="s">
        <v>74</v>
      </c>
      <c r="J101" s="32" t="s">
        <v>74</v>
      </c>
      <c r="K101" s="32" t="s">
        <v>74</v>
      </c>
      <c r="L101" s="32" t="s">
        <v>74</v>
      </c>
      <c r="M101" s="32" t="s">
        <v>74</v>
      </c>
      <c r="N101" s="32" t="s">
        <v>74</v>
      </c>
      <c r="O101" s="32" t="s">
        <v>74</v>
      </c>
      <c r="P101" s="32" t="s">
        <v>74</v>
      </c>
    </row>
    <row r="102" spans="1:16" x14ac:dyDescent="0.3">
      <c r="A102" s="1" t="s">
        <v>77</v>
      </c>
      <c r="B102" s="1"/>
      <c r="C102" s="32"/>
      <c r="D102" s="32"/>
      <c r="E102" s="32"/>
      <c r="F102" s="1"/>
      <c r="G102" s="1"/>
      <c r="H102" s="1"/>
      <c r="I102" s="1"/>
    </row>
    <row r="103" spans="1:16" x14ac:dyDescent="0.3">
      <c r="A103" s="1" t="s">
        <v>80</v>
      </c>
      <c r="B103" s="1"/>
      <c r="C103" s="1"/>
      <c r="D103" s="1"/>
      <c r="E103" s="1"/>
      <c r="F103" s="1"/>
      <c r="G103" s="1"/>
      <c r="H103" s="1"/>
      <c r="I103" s="1"/>
    </row>
    <row r="104" spans="1:16" x14ac:dyDescent="0.3">
      <c r="A104" s="1" t="s">
        <v>78</v>
      </c>
      <c r="B104" s="1"/>
      <c r="C104" s="32"/>
      <c r="D104" s="32"/>
      <c r="E104" s="32"/>
      <c r="F104" s="1"/>
      <c r="G104" s="1"/>
      <c r="H104" s="1"/>
      <c r="I104" s="1"/>
    </row>
    <row r="106" spans="1:16" x14ac:dyDescent="0.3">
      <c r="A106" s="1" t="s">
        <v>396</v>
      </c>
      <c r="B106" s="1" t="s">
        <v>397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</row>
    <row r="107" spans="1:16" ht="26.25" x14ac:dyDescent="0.3">
      <c r="A107" s="33" t="s">
        <v>79</v>
      </c>
      <c r="B107" s="65" t="s">
        <v>398</v>
      </c>
      <c r="C107" s="66" t="s">
        <v>402</v>
      </c>
      <c r="D107" s="66" t="s">
        <v>404</v>
      </c>
      <c r="E107" s="21" t="s">
        <v>406</v>
      </c>
      <c r="F107" s="22" t="s">
        <v>395</v>
      </c>
      <c r="G107" s="67" t="s">
        <v>408</v>
      </c>
      <c r="H107" s="21" t="s">
        <v>411</v>
      </c>
      <c r="I107" s="21" t="s">
        <v>413</v>
      </c>
      <c r="J107" s="19" t="s">
        <v>415</v>
      </c>
      <c r="K107" s="67" t="s">
        <v>417</v>
      </c>
      <c r="L107" s="19" t="s">
        <v>418</v>
      </c>
      <c r="M107" s="19" t="s">
        <v>421</v>
      </c>
    </row>
    <row r="108" spans="1:16" x14ac:dyDescent="0.3">
      <c r="A108" s="1" t="s">
        <v>75</v>
      </c>
      <c r="B108" s="1"/>
      <c r="C108" s="67" t="s">
        <v>399</v>
      </c>
      <c r="D108" s="67" t="s">
        <v>403</v>
      </c>
      <c r="E108" s="67" t="s">
        <v>405</v>
      </c>
      <c r="F108" s="67" t="s">
        <v>407</v>
      </c>
      <c r="G108" s="67" t="s">
        <v>409</v>
      </c>
      <c r="H108" s="67" t="s">
        <v>410</v>
      </c>
      <c r="I108" s="67" t="s">
        <v>412</v>
      </c>
      <c r="J108" s="67" t="s">
        <v>414</v>
      </c>
      <c r="K108" s="67" t="s">
        <v>416</v>
      </c>
      <c r="L108" s="1" t="s">
        <v>419</v>
      </c>
      <c r="M108" s="67" t="s">
        <v>420</v>
      </c>
    </row>
    <row r="109" spans="1:16" x14ac:dyDescent="0.3">
      <c r="A109" s="1" t="s">
        <v>76</v>
      </c>
      <c r="B109" s="32" t="s">
        <v>73</v>
      </c>
      <c r="C109" s="32" t="s">
        <v>74</v>
      </c>
      <c r="D109" s="32" t="s">
        <v>74</v>
      </c>
      <c r="E109" s="32" t="s">
        <v>74</v>
      </c>
      <c r="F109" s="32" t="s">
        <v>74</v>
      </c>
      <c r="G109" s="32" t="s">
        <v>74</v>
      </c>
      <c r="H109" s="32" t="s">
        <v>74</v>
      </c>
      <c r="I109" s="32" t="s">
        <v>74</v>
      </c>
      <c r="J109" s="32" t="s">
        <v>74</v>
      </c>
      <c r="K109" s="32" t="s">
        <v>74</v>
      </c>
      <c r="L109" s="32" t="s">
        <v>74</v>
      </c>
      <c r="M109" s="32" t="s">
        <v>74</v>
      </c>
    </row>
    <row r="110" spans="1:16" x14ac:dyDescent="0.3">
      <c r="A110" s="1" t="s">
        <v>77</v>
      </c>
      <c r="B110" s="1"/>
      <c r="C110" s="32" t="s">
        <v>400</v>
      </c>
      <c r="D110" s="32"/>
      <c r="E110" s="32"/>
      <c r="F110" s="1"/>
      <c r="G110" s="1"/>
      <c r="H110" s="1"/>
      <c r="I110" s="1"/>
      <c r="J110" s="1"/>
      <c r="K110" s="1"/>
      <c r="L110" s="1"/>
      <c r="M110" s="1"/>
    </row>
    <row r="111" spans="1:16" x14ac:dyDescent="0.3">
      <c r="A111" s="1" t="s">
        <v>80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</row>
    <row r="112" spans="1:16" x14ac:dyDescent="0.3">
      <c r="A112" s="1" t="s">
        <v>78</v>
      </c>
      <c r="B112" s="1"/>
      <c r="C112" s="32" t="s">
        <v>401</v>
      </c>
      <c r="D112" s="32"/>
      <c r="E112" s="32"/>
      <c r="F112" s="1"/>
      <c r="G112" s="1"/>
      <c r="H112" s="1"/>
      <c r="I112" s="1"/>
      <c r="J112" s="1"/>
      <c r="K112" s="1"/>
      <c r="L112" s="1"/>
      <c r="M112" s="1"/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C13"/>
  <sheetViews>
    <sheetView workbookViewId="0"/>
  </sheetViews>
  <sheetFormatPr defaultRowHeight="13.5" x14ac:dyDescent="0.3"/>
  <cols>
    <col min="1" max="1" width="10.73046875" customWidth="1"/>
    <col min="2" max="2" width="11.86328125" customWidth="1"/>
    <col min="3" max="3" width="11.73046875" customWidth="1"/>
  </cols>
  <sheetData>
    <row r="1" spans="1:3" ht="16.149999999999999" x14ac:dyDescent="0.3">
      <c r="A1" s="21" t="s">
        <v>17</v>
      </c>
      <c r="B1" s="21" t="s">
        <v>19</v>
      </c>
      <c r="C1" s="22" t="s">
        <v>18</v>
      </c>
    </row>
    <row r="2" spans="1:3" x14ac:dyDescent="0.3">
      <c r="A2" s="21">
        <v>16</v>
      </c>
      <c r="B2" s="21">
        <v>2.04</v>
      </c>
      <c r="C2" s="23">
        <v>0.4</v>
      </c>
    </row>
    <row r="3" spans="1:3" x14ac:dyDescent="0.3">
      <c r="A3" s="21">
        <v>25</v>
      </c>
      <c r="B3" s="21">
        <v>1.38</v>
      </c>
      <c r="C3" s="23">
        <v>0.38</v>
      </c>
    </row>
    <row r="4" spans="1:3" x14ac:dyDescent="0.3">
      <c r="A4" s="24">
        <v>35</v>
      </c>
      <c r="B4" s="24">
        <v>0.85</v>
      </c>
      <c r="C4" s="23">
        <v>0.37</v>
      </c>
    </row>
    <row r="5" spans="1:3" x14ac:dyDescent="0.3">
      <c r="A5" s="24">
        <v>50</v>
      </c>
      <c r="B5" s="24">
        <v>0.65</v>
      </c>
      <c r="C5" s="23">
        <v>0.36</v>
      </c>
    </row>
    <row r="6" spans="1:3" x14ac:dyDescent="0.3">
      <c r="A6" s="24">
        <v>70</v>
      </c>
      <c r="B6" s="24">
        <v>0.45</v>
      </c>
      <c r="C6" s="23">
        <v>0.35</v>
      </c>
    </row>
    <row r="7" spans="1:3" x14ac:dyDescent="0.3">
      <c r="A7" s="24">
        <v>95</v>
      </c>
      <c r="B7" s="24">
        <v>0.33</v>
      </c>
      <c r="C7" s="23">
        <v>0.34</v>
      </c>
    </row>
    <row r="8" spans="1:3" x14ac:dyDescent="0.3">
      <c r="A8" s="24">
        <v>120</v>
      </c>
      <c r="B8" s="24">
        <v>0.27</v>
      </c>
      <c r="C8" s="23">
        <v>0.33</v>
      </c>
    </row>
    <row r="9" spans="1:3" x14ac:dyDescent="0.3">
      <c r="A9" s="24">
        <v>150</v>
      </c>
      <c r="B9" s="24">
        <v>0.21</v>
      </c>
      <c r="C9" s="23">
        <v>0.32</v>
      </c>
    </row>
    <row r="10" spans="1:3" x14ac:dyDescent="0.3">
      <c r="A10" s="24">
        <v>185</v>
      </c>
      <c r="B10" s="24">
        <v>0.17</v>
      </c>
      <c r="C10" s="23">
        <v>0.31</v>
      </c>
    </row>
    <row r="11" spans="1:3" x14ac:dyDescent="0.3">
      <c r="A11" s="24">
        <v>240</v>
      </c>
      <c r="B11" s="24">
        <v>0.13200000000000001</v>
      </c>
      <c r="C11" s="23">
        <v>0.31</v>
      </c>
    </row>
    <row r="12" spans="1:3" x14ac:dyDescent="0.3">
      <c r="A12" s="24">
        <v>300</v>
      </c>
      <c r="B12" s="24">
        <v>0.107</v>
      </c>
      <c r="C12" s="23">
        <v>0.3</v>
      </c>
    </row>
    <row r="13" spans="1:3" x14ac:dyDescent="0.3">
      <c r="A13" s="24">
        <v>400</v>
      </c>
      <c r="B13" s="24">
        <v>0.08</v>
      </c>
      <c r="C13" s="23">
        <v>0.28000000000000003</v>
      </c>
    </row>
  </sheetData>
  <phoneticPr fontId="14" type="noConversion"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5A94E-53CD-4554-B80F-7C9EA48EF455}">
  <sheetPr codeName="Sheet4"/>
  <dimension ref="A1:G93"/>
  <sheetViews>
    <sheetView topLeftCell="A52" workbookViewId="0">
      <selection activeCell="F52" sqref="F52"/>
    </sheetView>
  </sheetViews>
  <sheetFormatPr defaultRowHeight="13.5" x14ac:dyDescent="0.3"/>
  <cols>
    <col min="1" max="1" width="15.1328125" customWidth="1"/>
    <col min="2" max="3" width="16.265625" customWidth="1"/>
    <col min="4" max="4" width="12.265625" customWidth="1"/>
    <col min="5" max="5" width="11.86328125" customWidth="1"/>
    <col min="6" max="6" width="13" customWidth="1"/>
    <col min="7" max="7" width="15.59765625" customWidth="1"/>
  </cols>
  <sheetData>
    <row r="1" spans="1:7" ht="27" x14ac:dyDescent="0.3">
      <c r="A1" s="42" t="s">
        <v>168</v>
      </c>
      <c r="B1" s="42" t="s">
        <v>169</v>
      </c>
      <c r="C1" s="42" t="s">
        <v>61</v>
      </c>
      <c r="D1" s="43" t="s">
        <v>170</v>
      </c>
      <c r="E1" s="43" t="s">
        <v>171</v>
      </c>
      <c r="F1" s="44" t="s">
        <v>64</v>
      </c>
      <c r="G1" s="44" t="s">
        <v>65</v>
      </c>
    </row>
    <row r="2" spans="1:7" x14ac:dyDescent="0.3">
      <c r="A2" s="9" t="str">
        <f>B2&amp;"-"&amp;C2</f>
        <v>S7-20</v>
      </c>
      <c r="B2" s="45" t="s">
        <v>172</v>
      </c>
      <c r="C2" s="46">
        <v>20</v>
      </c>
      <c r="D2" s="47">
        <v>122</v>
      </c>
      <c r="E2" s="47">
        <v>678</v>
      </c>
      <c r="F2" s="47">
        <v>4</v>
      </c>
      <c r="G2" s="47">
        <v>2</v>
      </c>
    </row>
    <row r="3" spans="1:7" x14ac:dyDescent="0.3">
      <c r="A3" s="9" t="str">
        <f t="shared" ref="A3:A66" si="0">B3&amp;"-"&amp;C3</f>
        <v>S7-30</v>
      </c>
      <c r="B3" s="45" t="s">
        <v>172</v>
      </c>
      <c r="C3" s="48">
        <v>30</v>
      </c>
      <c r="D3" s="46">
        <v>149</v>
      </c>
      <c r="E3" s="46">
        <v>792</v>
      </c>
      <c r="F3" s="46">
        <v>4</v>
      </c>
      <c r="G3" s="47">
        <v>1.9</v>
      </c>
    </row>
    <row r="4" spans="1:7" x14ac:dyDescent="0.3">
      <c r="A4" s="9" t="str">
        <f t="shared" si="0"/>
        <v>S7-50</v>
      </c>
      <c r="B4" s="45" t="s">
        <v>172</v>
      </c>
      <c r="C4" s="48">
        <v>50</v>
      </c>
      <c r="D4" s="46">
        <v>187</v>
      </c>
      <c r="E4" s="46">
        <v>1152</v>
      </c>
      <c r="F4" s="46">
        <v>4</v>
      </c>
      <c r="G4" s="47">
        <v>1.8</v>
      </c>
    </row>
    <row r="5" spans="1:7" x14ac:dyDescent="0.3">
      <c r="A5" s="9" t="str">
        <f t="shared" si="0"/>
        <v>S7-63</v>
      </c>
      <c r="B5" s="45" t="s">
        <v>172</v>
      </c>
      <c r="C5" s="48">
        <v>63</v>
      </c>
      <c r="D5" s="46">
        <v>220</v>
      </c>
      <c r="E5" s="46">
        <v>1398</v>
      </c>
      <c r="F5" s="46">
        <v>4</v>
      </c>
      <c r="G5" s="47">
        <v>1.7</v>
      </c>
    </row>
    <row r="6" spans="1:7" x14ac:dyDescent="0.3">
      <c r="A6" s="9" t="str">
        <f t="shared" si="0"/>
        <v>S7-80</v>
      </c>
      <c r="B6" s="45" t="s">
        <v>172</v>
      </c>
      <c r="C6" s="48">
        <v>80</v>
      </c>
      <c r="D6" s="46">
        <v>266</v>
      </c>
      <c r="E6" s="46">
        <v>1614</v>
      </c>
      <c r="F6" s="46">
        <v>4</v>
      </c>
      <c r="G6" s="47">
        <v>1.6</v>
      </c>
    </row>
    <row r="7" spans="1:7" x14ac:dyDescent="0.3">
      <c r="A7" s="9" t="str">
        <f t="shared" si="0"/>
        <v>S7-100</v>
      </c>
      <c r="B7" s="45" t="s">
        <v>172</v>
      </c>
      <c r="C7" s="48">
        <v>100</v>
      </c>
      <c r="D7" s="49">
        <v>302</v>
      </c>
      <c r="E7" s="49">
        <v>1925</v>
      </c>
      <c r="F7" s="46">
        <v>4</v>
      </c>
      <c r="G7" s="50">
        <v>1.6</v>
      </c>
    </row>
    <row r="8" spans="1:7" x14ac:dyDescent="0.3">
      <c r="A8" s="9" t="str">
        <f t="shared" si="0"/>
        <v>S7-125</v>
      </c>
      <c r="B8" s="45" t="s">
        <v>172</v>
      </c>
      <c r="C8" s="48">
        <v>125</v>
      </c>
      <c r="D8" s="49">
        <v>346</v>
      </c>
      <c r="E8" s="49">
        <v>2438</v>
      </c>
      <c r="F8" s="46">
        <v>4</v>
      </c>
      <c r="G8" s="50">
        <v>1.6</v>
      </c>
    </row>
    <row r="9" spans="1:7" x14ac:dyDescent="0.3">
      <c r="A9" s="9" t="str">
        <f t="shared" si="0"/>
        <v>S7-160</v>
      </c>
      <c r="B9" s="45" t="s">
        <v>172</v>
      </c>
      <c r="C9" s="48">
        <v>160</v>
      </c>
      <c r="D9" s="49">
        <v>443</v>
      </c>
      <c r="E9" s="49">
        <v>2771</v>
      </c>
      <c r="F9" s="46">
        <v>4</v>
      </c>
      <c r="G9" s="50">
        <v>1.6</v>
      </c>
    </row>
    <row r="10" spans="1:7" x14ac:dyDescent="0.3">
      <c r="A10" s="9" t="str">
        <f t="shared" si="0"/>
        <v>S7-200</v>
      </c>
      <c r="B10" s="45" t="s">
        <v>172</v>
      </c>
      <c r="C10" s="48">
        <v>200</v>
      </c>
      <c r="D10" s="49">
        <v>538</v>
      </c>
      <c r="E10" s="49">
        <v>3431</v>
      </c>
      <c r="F10" s="46">
        <v>4</v>
      </c>
      <c r="G10" s="50">
        <v>1.5</v>
      </c>
    </row>
    <row r="11" spans="1:7" x14ac:dyDescent="0.3">
      <c r="A11" s="9" t="str">
        <f t="shared" si="0"/>
        <v>S7-250</v>
      </c>
      <c r="B11" s="45" t="s">
        <v>172</v>
      </c>
      <c r="C11" s="48">
        <v>250</v>
      </c>
      <c r="D11" s="49">
        <v>605</v>
      </c>
      <c r="E11" s="49">
        <v>3935</v>
      </c>
      <c r="F11" s="46">
        <v>4</v>
      </c>
      <c r="G11" s="50">
        <v>1.5</v>
      </c>
    </row>
    <row r="12" spans="1:7" x14ac:dyDescent="0.3">
      <c r="A12" s="9" t="str">
        <f t="shared" si="0"/>
        <v>S7-315</v>
      </c>
      <c r="B12" s="45" t="s">
        <v>172</v>
      </c>
      <c r="C12" s="48">
        <v>315</v>
      </c>
      <c r="D12" s="49">
        <v>766</v>
      </c>
      <c r="E12" s="49">
        <v>4795</v>
      </c>
      <c r="F12" s="46">
        <v>4</v>
      </c>
      <c r="G12" s="50">
        <v>1.4</v>
      </c>
    </row>
    <row r="13" spans="1:7" x14ac:dyDescent="0.3">
      <c r="A13" s="9" t="str">
        <f t="shared" si="0"/>
        <v>S7-400</v>
      </c>
      <c r="B13" s="45" t="s">
        <v>172</v>
      </c>
      <c r="C13" s="48">
        <v>400</v>
      </c>
      <c r="D13" s="49">
        <v>875</v>
      </c>
      <c r="E13" s="49">
        <v>5800</v>
      </c>
      <c r="F13" s="46">
        <v>4</v>
      </c>
      <c r="G13" s="50">
        <v>1.4</v>
      </c>
    </row>
    <row r="14" spans="1:7" x14ac:dyDescent="0.3">
      <c r="A14" s="9" t="str">
        <f t="shared" si="0"/>
        <v>S7-500</v>
      </c>
      <c r="B14" s="45" t="s">
        <v>172</v>
      </c>
      <c r="C14" s="48">
        <v>500</v>
      </c>
      <c r="D14" s="49">
        <v>1030</v>
      </c>
      <c r="E14" s="49">
        <v>6686</v>
      </c>
      <c r="F14" s="46">
        <v>4</v>
      </c>
      <c r="G14" s="50">
        <v>1.4</v>
      </c>
    </row>
    <row r="15" spans="1:7" x14ac:dyDescent="0.3">
      <c r="A15" s="9" t="str">
        <f t="shared" si="0"/>
        <v>S7-630</v>
      </c>
      <c r="B15" s="45" t="s">
        <v>172</v>
      </c>
      <c r="C15" s="48">
        <v>630</v>
      </c>
      <c r="D15" s="49">
        <v>1290</v>
      </c>
      <c r="E15" s="49">
        <v>8169</v>
      </c>
      <c r="F15" s="49">
        <v>4.5</v>
      </c>
      <c r="G15" s="50">
        <v>1.3</v>
      </c>
    </row>
    <row r="16" spans="1:7" x14ac:dyDescent="0.3">
      <c r="A16" s="9" t="str">
        <f t="shared" si="0"/>
        <v>S7-800</v>
      </c>
      <c r="B16" s="45" t="s">
        <v>172</v>
      </c>
      <c r="C16" s="48">
        <v>800</v>
      </c>
      <c r="D16" s="49">
        <v>1476</v>
      </c>
      <c r="E16" s="49">
        <v>9680</v>
      </c>
      <c r="F16" s="49">
        <v>4</v>
      </c>
      <c r="G16" s="50">
        <v>1.3</v>
      </c>
    </row>
    <row r="17" spans="1:7" x14ac:dyDescent="0.3">
      <c r="A17" s="9" t="str">
        <f t="shared" si="0"/>
        <v>S7-1000</v>
      </c>
      <c r="B17" s="45" t="s">
        <v>172</v>
      </c>
      <c r="C17" s="48">
        <v>1000</v>
      </c>
      <c r="D17" s="49">
        <v>1777</v>
      </c>
      <c r="E17" s="49">
        <v>11530</v>
      </c>
      <c r="F17" s="49">
        <v>4.5</v>
      </c>
      <c r="G17" s="50">
        <v>1.2</v>
      </c>
    </row>
    <row r="18" spans="1:7" x14ac:dyDescent="0.3">
      <c r="A18" s="9" t="str">
        <f t="shared" si="0"/>
        <v>S7-1250</v>
      </c>
      <c r="B18" s="45" t="s">
        <v>172</v>
      </c>
      <c r="C18" s="48">
        <v>1250</v>
      </c>
      <c r="D18" s="49">
        <v>2198</v>
      </c>
      <c r="E18" s="49">
        <v>13793</v>
      </c>
      <c r="F18" s="49">
        <v>4.5</v>
      </c>
      <c r="G18" s="49">
        <v>1.2</v>
      </c>
    </row>
    <row r="19" spans="1:7" x14ac:dyDescent="0.3">
      <c r="A19" s="9" t="str">
        <f t="shared" si="0"/>
        <v>S7-1600</v>
      </c>
      <c r="B19" s="45" t="s">
        <v>172</v>
      </c>
      <c r="C19" s="48">
        <v>1600</v>
      </c>
      <c r="D19" s="49">
        <v>2650</v>
      </c>
      <c r="E19" s="49">
        <v>16500</v>
      </c>
      <c r="F19" s="49">
        <v>4.5</v>
      </c>
      <c r="G19" s="49">
        <v>1.1000000000000001</v>
      </c>
    </row>
    <row r="20" spans="1:7" x14ac:dyDescent="0.3">
      <c r="A20" s="9" t="str">
        <f t="shared" si="0"/>
        <v>S9-20</v>
      </c>
      <c r="B20" s="51" t="s">
        <v>173</v>
      </c>
      <c r="C20" s="49">
        <v>20</v>
      </c>
      <c r="D20" s="49">
        <v>100</v>
      </c>
      <c r="E20" s="49">
        <v>500</v>
      </c>
      <c r="F20" s="49">
        <v>4</v>
      </c>
      <c r="G20" s="49">
        <v>2.2999999999999998</v>
      </c>
    </row>
    <row r="21" spans="1:7" x14ac:dyDescent="0.3">
      <c r="A21" s="9" t="str">
        <f t="shared" si="0"/>
        <v>S11-20</v>
      </c>
      <c r="B21" s="51" t="s">
        <v>174</v>
      </c>
      <c r="C21" s="49">
        <v>20</v>
      </c>
      <c r="D21" s="50">
        <v>110</v>
      </c>
      <c r="E21" s="50">
        <v>460</v>
      </c>
      <c r="F21" s="50">
        <v>4</v>
      </c>
      <c r="G21" s="50">
        <v>2.4</v>
      </c>
    </row>
    <row r="22" spans="1:7" x14ac:dyDescent="0.3">
      <c r="A22" s="9" t="str">
        <f t="shared" si="0"/>
        <v>S9-30</v>
      </c>
      <c r="B22" s="52" t="s">
        <v>173</v>
      </c>
      <c r="C22" s="48">
        <v>30</v>
      </c>
      <c r="D22" s="53">
        <v>130</v>
      </c>
      <c r="E22" s="53">
        <v>600</v>
      </c>
      <c r="F22" s="54">
        <v>4</v>
      </c>
      <c r="G22" s="54">
        <v>2.2999999999999998</v>
      </c>
    </row>
    <row r="23" spans="1:7" x14ac:dyDescent="0.3">
      <c r="A23" s="9" t="str">
        <f t="shared" si="0"/>
        <v>S9-50</v>
      </c>
      <c r="B23" s="52" t="s">
        <v>173</v>
      </c>
      <c r="C23" s="48">
        <v>50</v>
      </c>
      <c r="D23" s="53">
        <v>170</v>
      </c>
      <c r="E23" s="53">
        <v>870</v>
      </c>
      <c r="F23" s="54">
        <v>4</v>
      </c>
      <c r="G23" s="54">
        <v>2</v>
      </c>
    </row>
    <row r="24" spans="1:7" x14ac:dyDescent="0.3">
      <c r="A24" s="9" t="str">
        <f t="shared" si="0"/>
        <v>S9-63</v>
      </c>
      <c r="B24" s="52" t="s">
        <v>173</v>
      </c>
      <c r="C24" s="48">
        <v>63</v>
      </c>
      <c r="D24" s="53">
        <v>200</v>
      </c>
      <c r="E24" s="53">
        <v>1040</v>
      </c>
      <c r="F24" s="54">
        <v>4</v>
      </c>
      <c r="G24" s="54">
        <v>1.9</v>
      </c>
    </row>
    <row r="25" spans="1:7" x14ac:dyDescent="0.3">
      <c r="A25" s="9" t="str">
        <f t="shared" si="0"/>
        <v>S9-80</v>
      </c>
      <c r="B25" s="52" t="s">
        <v>173</v>
      </c>
      <c r="C25" s="48">
        <v>80</v>
      </c>
      <c r="D25" s="53">
        <v>250</v>
      </c>
      <c r="E25" s="53">
        <v>1250</v>
      </c>
      <c r="F25" s="54">
        <v>4</v>
      </c>
      <c r="G25" s="54">
        <v>1.8</v>
      </c>
    </row>
    <row r="26" spans="1:7" x14ac:dyDescent="0.3">
      <c r="A26" s="9" t="str">
        <f t="shared" si="0"/>
        <v>S9-100</v>
      </c>
      <c r="B26" s="52" t="s">
        <v>173</v>
      </c>
      <c r="C26" s="48">
        <v>100</v>
      </c>
      <c r="D26" s="53">
        <v>290</v>
      </c>
      <c r="E26" s="53">
        <v>1500</v>
      </c>
      <c r="F26" s="54">
        <v>4</v>
      </c>
      <c r="G26" s="54">
        <v>1.8</v>
      </c>
    </row>
    <row r="27" spans="1:7" x14ac:dyDescent="0.3">
      <c r="A27" s="9" t="str">
        <f t="shared" si="0"/>
        <v>S9-125</v>
      </c>
      <c r="B27" s="52" t="s">
        <v>173</v>
      </c>
      <c r="C27" s="48">
        <v>125</v>
      </c>
      <c r="D27" s="53">
        <v>340</v>
      </c>
      <c r="E27" s="53">
        <v>1800</v>
      </c>
      <c r="F27" s="54">
        <v>4</v>
      </c>
      <c r="G27" s="54">
        <v>1.7</v>
      </c>
    </row>
    <row r="28" spans="1:7" x14ac:dyDescent="0.3">
      <c r="A28" s="9" t="str">
        <f t="shared" si="0"/>
        <v>S9-160</v>
      </c>
      <c r="B28" s="52" t="s">
        <v>173</v>
      </c>
      <c r="C28" s="48">
        <v>160</v>
      </c>
      <c r="D28" s="53">
        <v>400</v>
      </c>
      <c r="E28" s="53">
        <v>2200</v>
      </c>
      <c r="F28" s="54">
        <v>4</v>
      </c>
      <c r="G28" s="54">
        <v>1.6</v>
      </c>
    </row>
    <row r="29" spans="1:7" x14ac:dyDescent="0.3">
      <c r="A29" s="9" t="str">
        <f t="shared" si="0"/>
        <v>S9-200</v>
      </c>
      <c r="B29" s="52" t="s">
        <v>173</v>
      </c>
      <c r="C29" s="48">
        <v>200</v>
      </c>
      <c r="D29" s="53">
        <v>480</v>
      </c>
      <c r="E29" s="53">
        <v>2600</v>
      </c>
      <c r="F29" s="54">
        <v>4</v>
      </c>
      <c r="G29" s="54">
        <v>1.5</v>
      </c>
    </row>
    <row r="30" spans="1:7" x14ac:dyDescent="0.3">
      <c r="A30" s="9" t="str">
        <f t="shared" si="0"/>
        <v>S9-250</v>
      </c>
      <c r="B30" s="52" t="s">
        <v>173</v>
      </c>
      <c r="C30" s="48">
        <v>250</v>
      </c>
      <c r="D30" s="53">
        <v>560</v>
      </c>
      <c r="E30" s="53">
        <v>3050</v>
      </c>
      <c r="F30" s="54">
        <v>4</v>
      </c>
      <c r="G30" s="54">
        <v>1.4</v>
      </c>
    </row>
    <row r="31" spans="1:7" x14ac:dyDescent="0.3">
      <c r="A31" s="9" t="str">
        <f t="shared" si="0"/>
        <v>S9-315</v>
      </c>
      <c r="B31" s="52" t="s">
        <v>173</v>
      </c>
      <c r="C31" s="48">
        <v>315</v>
      </c>
      <c r="D31" s="53">
        <v>670</v>
      </c>
      <c r="E31" s="53">
        <v>3650</v>
      </c>
      <c r="F31" s="54">
        <v>4</v>
      </c>
      <c r="G31" s="54">
        <v>1.4</v>
      </c>
    </row>
    <row r="32" spans="1:7" x14ac:dyDescent="0.3">
      <c r="A32" s="9" t="str">
        <f t="shared" si="0"/>
        <v>S9-400</v>
      </c>
      <c r="B32" s="52" t="s">
        <v>173</v>
      </c>
      <c r="C32" s="48">
        <v>400</v>
      </c>
      <c r="D32" s="53">
        <v>800</v>
      </c>
      <c r="E32" s="53">
        <v>4300</v>
      </c>
      <c r="F32" s="54">
        <v>4</v>
      </c>
      <c r="G32" s="54">
        <v>1.3</v>
      </c>
    </row>
    <row r="33" spans="1:7" x14ac:dyDescent="0.3">
      <c r="A33" s="9" t="str">
        <f t="shared" si="0"/>
        <v>S9-500</v>
      </c>
      <c r="B33" s="52" t="s">
        <v>173</v>
      </c>
      <c r="C33" s="48">
        <v>500</v>
      </c>
      <c r="D33" s="53">
        <v>960</v>
      </c>
      <c r="E33" s="53">
        <v>5150</v>
      </c>
      <c r="F33" s="54">
        <v>4</v>
      </c>
      <c r="G33" s="54">
        <v>1.2</v>
      </c>
    </row>
    <row r="34" spans="1:7" x14ac:dyDescent="0.3">
      <c r="A34" s="9" t="str">
        <f t="shared" si="0"/>
        <v>S9-630</v>
      </c>
      <c r="B34" s="52" t="s">
        <v>173</v>
      </c>
      <c r="C34" s="48">
        <v>630</v>
      </c>
      <c r="D34" s="53">
        <v>1200</v>
      </c>
      <c r="E34" s="53">
        <v>6200</v>
      </c>
      <c r="F34" s="54">
        <v>4.5</v>
      </c>
      <c r="G34" s="54">
        <v>1.1000000000000001</v>
      </c>
    </row>
    <row r="35" spans="1:7" x14ac:dyDescent="0.3">
      <c r="A35" s="9" t="str">
        <f t="shared" si="0"/>
        <v>S9-800</v>
      </c>
      <c r="B35" s="52" t="s">
        <v>173</v>
      </c>
      <c r="C35" s="48">
        <v>800</v>
      </c>
      <c r="D35" s="53">
        <v>1400</v>
      </c>
      <c r="E35" s="53">
        <v>7500</v>
      </c>
      <c r="F35" s="54">
        <v>4.5</v>
      </c>
      <c r="G35" s="54">
        <v>1</v>
      </c>
    </row>
    <row r="36" spans="1:7" x14ac:dyDescent="0.3">
      <c r="A36" s="9" t="str">
        <f t="shared" si="0"/>
        <v>S9-1000</v>
      </c>
      <c r="B36" s="52" t="s">
        <v>173</v>
      </c>
      <c r="C36" s="48">
        <v>1000</v>
      </c>
      <c r="D36" s="53">
        <v>1700</v>
      </c>
      <c r="E36" s="53">
        <v>10300</v>
      </c>
      <c r="F36" s="54">
        <v>4.5</v>
      </c>
      <c r="G36" s="54">
        <v>1</v>
      </c>
    </row>
    <row r="37" spans="1:7" x14ac:dyDescent="0.3">
      <c r="A37" s="9" t="str">
        <f t="shared" si="0"/>
        <v>S9-1250</v>
      </c>
      <c r="B37" s="52" t="s">
        <v>173</v>
      </c>
      <c r="C37" s="48">
        <v>1250</v>
      </c>
      <c r="D37" s="53">
        <v>1950</v>
      </c>
      <c r="E37" s="53">
        <v>12000</v>
      </c>
      <c r="F37" s="54">
        <v>4.5</v>
      </c>
      <c r="G37" s="54">
        <v>0.9</v>
      </c>
    </row>
    <row r="38" spans="1:7" x14ac:dyDescent="0.3">
      <c r="A38" s="9" t="str">
        <f t="shared" si="0"/>
        <v>S9-1600</v>
      </c>
      <c r="B38" s="52" t="s">
        <v>173</v>
      </c>
      <c r="C38" s="48">
        <v>1600</v>
      </c>
      <c r="D38" s="53">
        <v>2400</v>
      </c>
      <c r="E38" s="53">
        <v>14500</v>
      </c>
      <c r="F38" s="54">
        <v>4.5</v>
      </c>
      <c r="G38" s="54">
        <v>0.8</v>
      </c>
    </row>
    <row r="39" spans="1:7" x14ac:dyDescent="0.3">
      <c r="A39" s="9" t="str">
        <f t="shared" si="0"/>
        <v>S11-30</v>
      </c>
      <c r="B39" s="52" t="s">
        <v>174</v>
      </c>
      <c r="C39" s="48">
        <v>30</v>
      </c>
      <c r="D39" s="48">
        <v>100</v>
      </c>
      <c r="E39" s="48">
        <v>630</v>
      </c>
      <c r="F39" s="48">
        <v>4</v>
      </c>
      <c r="G39" s="48">
        <v>1.5</v>
      </c>
    </row>
    <row r="40" spans="1:7" x14ac:dyDescent="0.3">
      <c r="A40" s="9" t="str">
        <f t="shared" si="0"/>
        <v>S11-50</v>
      </c>
      <c r="B40" s="52" t="s">
        <v>174</v>
      </c>
      <c r="C40" s="48">
        <v>50</v>
      </c>
      <c r="D40" s="48">
        <v>130</v>
      </c>
      <c r="E40" s="48">
        <v>910</v>
      </c>
      <c r="F40" s="48">
        <v>4</v>
      </c>
      <c r="G40" s="48">
        <v>1.3</v>
      </c>
    </row>
    <row r="41" spans="1:7" x14ac:dyDescent="0.3">
      <c r="A41" s="9" t="str">
        <f t="shared" si="0"/>
        <v>S11-63</v>
      </c>
      <c r="B41" s="52" t="s">
        <v>174</v>
      </c>
      <c r="C41" s="48">
        <v>63</v>
      </c>
      <c r="D41" s="48">
        <v>150</v>
      </c>
      <c r="E41" s="48">
        <v>1090</v>
      </c>
      <c r="F41" s="48">
        <v>4</v>
      </c>
      <c r="G41" s="48">
        <v>1.2</v>
      </c>
    </row>
    <row r="42" spans="1:7" x14ac:dyDescent="0.3">
      <c r="A42" s="9" t="str">
        <f t="shared" si="0"/>
        <v>S11-80</v>
      </c>
      <c r="B42" s="55" t="s">
        <v>174</v>
      </c>
      <c r="C42" s="53">
        <v>80</v>
      </c>
      <c r="D42" s="48">
        <v>180</v>
      </c>
      <c r="E42" s="48">
        <v>1310</v>
      </c>
      <c r="F42" s="48">
        <v>4</v>
      </c>
      <c r="G42" s="48">
        <v>1.2</v>
      </c>
    </row>
    <row r="43" spans="1:7" x14ac:dyDescent="0.3">
      <c r="A43" s="9" t="str">
        <f t="shared" si="0"/>
        <v>S11-100</v>
      </c>
      <c r="B43" s="55" t="s">
        <v>174</v>
      </c>
      <c r="C43" s="53">
        <v>100</v>
      </c>
      <c r="D43" s="48">
        <v>200</v>
      </c>
      <c r="E43" s="48">
        <v>1580</v>
      </c>
      <c r="F43" s="48">
        <v>4</v>
      </c>
      <c r="G43" s="48">
        <v>1.1000000000000001</v>
      </c>
    </row>
    <row r="44" spans="1:7" x14ac:dyDescent="0.3">
      <c r="A44" s="9" t="str">
        <f t="shared" si="0"/>
        <v>S11-125</v>
      </c>
      <c r="B44" s="55" t="s">
        <v>174</v>
      </c>
      <c r="C44" s="53">
        <v>125</v>
      </c>
      <c r="D44" s="48">
        <v>240</v>
      </c>
      <c r="E44" s="48">
        <v>1890</v>
      </c>
      <c r="F44" s="48">
        <v>4</v>
      </c>
      <c r="G44" s="48">
        <v>1.1000000000000001</v>
      </c>
    </row>
    <row r="45" spans="1:7" x14ac:dyDescent="0.3">
      <c r="A45" s="9" t="str">
        <f t="shared" si="0"/>
        <v>S11-160</v>
      </c>
      <c r="B45" s="55" t="s">
        <v>174</v>
      </c>
      <c r="C45" s="53">
        <v>160</v>
      </c>
      <c r="D45" s="48">
        <v>280</v>
      </c>
      <c r="E45" s="48">
        <v>2310</v>
      </c>
      <c r="F45" s="48">
        <v>4</v>
      </c>
      <c r="G45" s="48">
        <v>1</v>
      </c>
    </row>
    <row r="46" spans="1:7" x14ac:dyDescent="0.3">
      <c r="A46" s="9" t="str">
        <f t="shared" si="0"/>
        <v>S11-200</v>
      </c>
      <c r="B46" s="55" t="s">
        <v>174</v>
      </c>
      <c r="C46" s="53">
        <v>200</v>
      </c>
      <c r="D46" s="48">
        <v>340</v>
      </c>
      <c r="E46" s="48">
        <v>2730</v>
      </c>
      <c r="F46" s="48">
        <v>4</v>
      </c>
      <c r="G46" s="48">
        <v>1</v>
      </c>
    </row>
    <row r="47" spans="1:7" x14ac:dyDescent="0.3">
      <c r="A47" s="9" t="str">
        <f t="shared" si="0"/>
        <v>S11-250</v>
      </c>
      <c r="B47" s="55" t="s">
        <v>174</v>
      </c>
      <c r="C47" s="53">
        <v>250</v>
      </c>
      <c r="D47" s="48">
        <v>400</v>
      </c>
      <c r="E47" s="48">
        <v>3200</v>
      </c>
      <c r="F47" s="48">
        <v>4</v>
      </c>
      <c r="G47" s="48">
        <v>0.9</v>
      </c>
    </row>
    <row r="48" spans="1:7" x14ac:dyDescent="0.3">
      <c r="A48" s="9" t="str">
        <f t="shared" si="0"/>
        <v>S11-315</v>
      </c>
      <c r="B48" s="55" t="s">
        <v>174</v>
      </c>
      <c r="C48" s="53">
        <v>315</v>
      </c>
      <c r="D48" s="48">
        <v>480</v>
      </c>
      <c r="E48" s="48">
        <v>3830</v>
      </c>
      <c r="F48" s="48">
        <v>4</v>
      </c>
      <c r="G48" s="48">
        <v>0.9</v>
      </c>
    </row>
    <row r="49" spans="1:7" x14ac:dyDescent="0.3">
      <c r="A49" s="9" t="str">
        <f t="shared" si="0"/>
        <v>S11-400</v>
      </c>
      <c r="B49" s="55" t="s">
        <v>174</v>
      </c>
      <c r="C49" s="53">
        <v>400</v>
      </c>
      <c r="D49" s="48">
        <v>570</v>
      </c>
      <c r="E49" s="48">
        <v>4250</v>
      </c>
      <c r="F49" s="48">
        <v>4</v>
      </c>
      <c r="G49" s="48">
        <v>0.8</v>
      </c>
    </row>
    <row r="50" spans="1:7" x14ac:dyDescent="0.3">
      <c r="A50" s="9" t="str">
        <f t="shared" si="0"/>
        <v>S11-500</v>
      </c>
      <c r="B50" s="55" t="s">
        <v>174</v>
      </c>
      <c r="C50" s="53">
        <v>500</v>
      </c>
      <c r="D50" s="48">
        <v>680</v>
      </c>
      <c r="E50" s="48">
        <v>5410</v>
      </c>
      <c r="F50" s="48">
        <v>4</v>
      </c>
      <c r="G50" s="48">
        <v>0.8</v>
      </c>
    </row>
    <row r="51" spans="1:7" x14ac:dyDescent="0.3">
      <c r="A51" s="9" t="str">
        <f t="shared" si="0"/>
        <v>S11-630</v>
      </c>
      <c r="B51" s="52" t="s">
        <v>174</v>
      </c>
      <c r="C51" s="48">
        <v>630</v>
      </c>
      <c r="D51" s="48">
        <v>810</v>
      </c>
      <c r="E51" s="48">
        <v>6200</v>
      </c>
      <c r="F51" s="48">
        <v>4.5</v>
      </c>
      <c r="G51" s="48">
        <v>0.6</v>
      </c>
    </row>
    <row r="52" spans="1:7" x14ac:dyDescent="0.3">
      <c r="A52" s="9" t="str">
        <f t="shared" si="0"/>
        <v>S11-800</v>
      </c>
      <c r="B52" s="52" t="s">
        <v>174</v>
      </c>
      <c r="C52" s="48">
        <v>800</v>
      </c>
      <c r="D52" s="48">
        <v>980</v>
      </c>
      <c r="E52" s="48">
        <v>7500</v>
      </c>
      <c r="F52" s="48">
        <v>4.5</v>
      </c>
      <c r="G52" s="48">
        <v>0.6</v>
      </c>
    </row>
    <row r="53" spans="1:7" x14ac:dyDescent="0.3">
      <c r="A53" s="9" t="str">
        <f t="shared" si="0"/>
        <v>S11-1000</v>
      </c>
      <c r="B53" s="52" t="s">
        <v>174</v>
      </c>
      <c r="C53" s="48">
        <v>1000</v>
      </c>
      <c r="D53" s="48">
        <v>1150</v>
      </c>
      <c r="E53" s="48">
        <v>10300</v>
      </c>
      <c r="F53" s="48">
        <v>4.5</v>
      </c>
      <c r="G53" s="48">
        <v>0.6</v>
      </c>
    </row>
    <row r="54" spans="1:7" x14ac:dyDescent="0.3">
      <c r="A54" s="9" t="str">
        <f t="shared" si="0"/>
        <v>S11-1250</v>
      </c>
      <c r="B54" s="52" t="s">
        <v>174</v>
      </c>
      <c r="C54" s="48">
        <v>1250</v>
      </c>
      <c r="D54" s="48">
        <v>1360</v>
      </c>
      <c r="E54" s="48">
        <v>12000</v>
      </c>
      <c r="F54" s="48">
        <v>4.5</v>
      </c>
      <c r="G54" s="48">
        <v>0.5</v>
      </c>
    </row>
    <row r="55" spans="1:7" x14ac:dyDescent="0.3">
      <c r="A55" s="9" t="str">
        <f t="shared" si="0"/>
        <v>S11-1600</v>
      </c>
      <c r="B55" s="52" t="s">
        <v>174</v>
      </c>
      <c r="C55" s="48">
        <v>1600</v>
      </c>
      <c r="D55" s="48">
        <v>1640</v>
      </c>
      <c r="E55" s="48">
        <v>14500</v>
      </c>
      <c r="F55" s="48">
        <v>4.5</v>
      </c>
      <c r="G55" s="48">
        <v>0.5</v>
      </c>
    </row>
    <row r="56" spans="1:7" x14ac:dyDescent="0.3">
      <c r="A56" s="9" t="str">
        <f t="shared" si="0"/>
        <v>S11-2000</v>
      </c>
      <c r="B56" s="52" t="s">
        <v>174</v>
      </c>
      <c r="C56" s="48">
        <v>2000</v>
      </c>
      <c r="D56" s="48">
        <v>1940</v>
      </c>
      <c r="E56" s="48">
        <v>18300</v>
      </c>
      <c r="F56" s="48">
        <v>5</v>
      </c>
      <c r="G56" s="48">
        <v>0.4</v>
      </c>
    </row>
    <row r="57" spans="1:7" x14ac:dyDescent="0.3">
      <c r="A57" s="9" t="str">
        <f t="shared" si="0"/>
        <v>S11-2500</v>
      </c>
      <c r="B57" s="52" t="s">
        <v>174</v>
      </c>
      <c r="C57" s="48">
        <v>2500</v>
      </c>
      <c r="D57" s="48">
        <v>2290</v>
      </c>
      <c r="E57" s="48">
        <v>21200</v>
      </c>
      <c r="F57" s="48">
        <v>5</v>
      </c>
      <c r="G57" s="48">
        <v>0.4</v>
      </c>
    </row>
    <row r="58" spans="1:7" x14ac:dyDescent="0.3">
      <c r="A58" s="9" t="str">
        <f t="shared" si="0"/>
        <v>S13-30</v>
      </c>
      <c r="B58" s="52" t="s">
        <v>175</v>
      </c>
      <c r="C58" s="48">
        <v>30</v>
      </c>
      <c r="D58" s="48">
        <v>80</v>
      </c>
      <c r="E58" s="48">
        <v>630</v>
      </c>
      <c r="F58" s="48">
        <v>4</v>
      </c>
      <c r="G58" s="48">
        <v>0.28999999999999998</v>
      </c>
    </row>
    <row r="59" spans="1:7" x14ac:dyDescent="0.3">
      <c r="A59" s="9" t="str">
        <f t="shared" si="0"/>
        <v>S13-50</v>
      </c>
      <c r="B59" s="52" t="s">
        <v>175</v>
      </c>
      <c r="C59" s="48">
        <v>50</v>
      </c>
      <c r="D59" s="48">
        <v>100</v>
      </c>
      <c r="E59" s="48">
        <v>910</v>
      </c>
      <c r="F59" s="48">
        <v>4</v>
      </c>
      <c r="G59" s="48">
        <v>0.28000000000000003</v>
      </c>
    </row>
    <row r="60" spans="1:7" x14ac:dyDescent="0.3">
      <c r="A60" s="9" t="str">
        <f t="shared" si="0"/>
        <v>S13-63</v>
      </c>
      <c r="B60" s="52" t="s">
        <v>175</v>
      </c>
      <c r="C60" s="48">
        <v>63</v>
      </c>
      <c r="D60" s="48">
        <v>110</v>
      </c>
      <c r="E60" s="48">
        <v>1090</v>
      </c>
      <c r="F60" s="48">
        <v>4</v>
      </c>
      <c r="G60" s="48">
        <v>0.27</v>
      </c>
    </row>
    <row r="61" spans="1:7" x14ac:dyDescent="0.3">
      <c r="A61" s="9" t="str">
        <f t="shared" si="0"/>
        <v>S13-80</v>
      </c>
      <c r="B61" s="52" t="s">
        <v>175</v>
      </c>
      <c r="C61" s="48">
        <v>80</v>
      </c>
      <c r="D61" s="48">
        <v>130</v>
      </c>
      <c r="E61" s="48">
        <v>1310</v>
      </c>
      <c r="F61" s="48">
        <v>4</v>
      </c>
      <c r="G61" s="48">
        <v>0.26</v>
      </c>
    </row>
    <row r="62" spans="1:7" x14ac:dyDescent="0.3">
      <c r="A62" s="9" t="str">
        <f t="shared" si="0"/>
        <v>S13-100</v>
      </c>
      <c r="B62" s="52" t="s">
        <v>175</v>
      </c>
      <c r="C62" s="48">
        <v>100</v>
      </c>
      <c r="D62" s="48">
        <v>150</v>
      </c>
      <c r="E62" s="48">
        <v>1580</v>
      </c>
      <c r="F62" s="48">
        <v>4</v>
      </c>
      <c r="G62" s="48">
        <v>0.25</v>
      </c>
    </row>
    <row r="63" spans="1:7" x14ac:dyDescent="0.3">
      <c r="A63" s="9" t="str">
        <f t="shared" si="0"/>
        <v>S13-125</v>
      </c>
      <c r="B63" s="52" t="s">
        <v>175</v>
      </c>
      <c r="C63" s="48">
        <v>125</v>
      </c>
      <c r="D63" s="48">
        <v>170</v>
      </c>
      <c r="E63" s="48">
        <v>1890</v>
      </c>
      <c r="F63" s="48">
        <v>4</v>
      </c>
      <c r="G63" s="48">
        <v>0.23</v>
      </c>
    </row>
    <row r="64" spans="1:7" x14ac:dyDescent="0.3">
      <c r="A64" s="9" t="str">
        <f t="shared" si="0"/>
        <v>S13-160</v>
      </c>
      <c r="B64" s="52" t="s">
        <v>175</v>
      </c>
      <c r="C64" s="48">
        <v>160</v>
      </c>
      <c r="D64" s="48">
        <v>200</v>
      </c>
      <c r="E64" s="48">
        <v>2310</v>
      </c>
      <c r="F64" s="48">
        <v>4</v>
      </c>
      <c r="G64" s="48">
        <v>0.23</v>
      </c>
    </row>
    <row r="65" spans="1:7" x14ac:dyDescent="0.3">
      <c r="A65" s="9" t="str">
        <f t="shared" si="0"/>
        <v>S13-200</v>
      </c>
      <c r="B65" s="52" t="s">
        <v>175</v>
      </c>
      <c r="C65" s="48">
        <v>200</v>
      </c>
      <c r="D65" s="48">
        <v>240</v>
      </c>
      <c r="E65" s="48">
        <v>2730</v>
      </c>
      <c r="F65" s="48">
        <v>4</v>
      </c>
      <c r="G65" s="48">
        <v>0.23</v>
      </c>
    </row>
    <row r="66" spans="1:7" x14ac:dyDescent="0.3">
      <c r="A66" s="9" t="str">
        <f t="shared" si="0"/>
        <v>S13-250</v>
      </c>
      <c r="B66" s="52" t="s">
        <v>175</v>
      </c>
      <c r="C66" s="48">
        <v>250</v>
      </c>
      <c r="D66" s="48">
        <v>290</v>
      </c>
      <c r="E66" s="48">
        <v>3200</v>
      </c>
      <c r="F66" s="48">
        <v>4</v>
      </c>
      <c r="G66" s="48">
        <v>0.22</v>
      </c>
    </row>
    <row r="67" spans="1:7" x14ac:dyDescent="0.3">
      <c r="A67" s="9" t="str">
        <f t="shared" ref="A67:A93" si="1">B67&amp;"-"&amp;C67</f>
        <v>S13-315</v>
      </c>
      <c r="B67" s="52" t="s">
        <v>175</v>
      </c>
      <c r="C67" s="48">
        <v>315</v>
      </c>
      <c r="D67" s="48">
        <v>340</v>
      </c>
      <c r="E67" s="48">
        <v>3380</v>
      </c>
      <c r="F67" s="48">
        <v>4</v>
      </c>
      <c r="G67" s="48">
        <v>0.21</v>
      </c>
    </row>
    <row r="68" spans="1:7" x14ac:dyDescent="0.3">
      <c r="A68" s="9" t="str">
        <f t="shared" si="1"/>
        <v>S13-400</v>
      </c>
      <c r="B68" s="52" t="s">
        <v>175</v>
      </c>
      <c r="C68" s="48">
        <v>400</v>
      </c>
      <c r="D68" s="48">
        <v>410</v>
      </c>
      <c r="E68" s="48">
        <v>4520</v>
      </c>
      <c r="F68" s="48">
        <v>4</v>
      </c>
      <c r="G68" s="48">
        <v>0.21</v>
      </c>
    </row>
    <row r="69" spans="1:7" x14ac:dyDescent="0.3">
      <c r="A69" s="9" t="str">
        <f t="shared" si="1"/>
        <v>S13-500</v>
      </c>
      <c r="B69" s="52" t="s">
        <v>175</v>
      </c>
      <c r="C69" s="48">
        <v>500</v>
      </c>
      <c r="D69" s="48">
        <v>480</v>
      </c>
      <c r="E69" s="48">
        <v>5410</v>
      </c>
      <c r="F69" s="48">
        <v>4</v>
      </c>
      <c r="G69" s="48">
        <v>0.2</v>
      </c>
    </row>
    <row r="70" spans="1:7" x14ac:dyDescent="0.3">
      <c r="A70" s="9" t="str">
        <f t="shared" si="1"/>
        <v>S13-630</v>
      </c>
      <c r="B70" s="52" t="s">
        <v>175</v>
      </c>
      <c r="C70" s="48">
        <v>630</v>
      </c>
      <c r="D70" s="48">
        <v>570</v>
      </c>
      <c r="E70" s="48">
        <v>6200</v>
      </c>
      <c r="F70" s="48">
        <v>4.5</v>
      </c>
      <c r="G70" s="48">
        <v>0.2</v>
      </c>
    </row>
    <row r="71" spans="1:7" x14ac:dyDescent="0.3">
      <c r="A71" s="9" t="str">
        <f t="shared" si="1"/>
        <v>S13-800</v>
      </c>
      <c r="B71" s="52" t="s">
        <v>175</v>
      </c>
      <c r="C71" s="48">
        <v>800</v>
      </c>
      <c r="D71" s="48">
        <v>700</v>
      </c>
      <c r="E71" s="48">
        <v>7500</v>
      </c>
      <c r="F71" s="48">
        <v>4.5</v>
      </c>
      <c r="G71" s="48">
        <v>0.3</v>
      </c>
    </row>
    <row r="72" spans="1:7" x14ac:dyDescent="0.3">
      <c r="A72" s="9" t="str">
        <f t="shared" si="1"/>
        <v>S13-1000</v>
      </c>
      <c r="B72" s="52" t="s">
        <v>175</v>
      </c>
      <c r="C72" s="48">
        <v>1000</v>
      </c>
      <c r="D72" s="48">
        <v>830</v>
      </c>
      <c r="E72" s="48">
        <v>10300</v>
      </c>
      <c r="F72" s="48">
        <v>4.5</v>
      </c>
      <c r="G72" s="48">
        <v>0.3</v>
      </c>
    </row>
    <row r="73" spans="1:7" x14ac:dyDescent="0.3">
      <c r="A73" s="9" t="str">
        <f t="shared" si="1"/>
        <v>S13-1250</v>
      </c>
      <c r="B73" s="52" t="s">
        <v>175</v>
      </c>
      <c r="C73" s="48">
        <v>1250</v>
      </c>
      <c r="D73" s="48">
        <v>970</v>
      </c>
      <c r="E73" s="48">
        <v>12000</v>
      </c>
      <c r="F73" s="48">
        <v>4.5</v>
      </c>
      <c r="G73" s="48">
        <v>0.2</v>
      </c>
    </row>
    <row r="74" spans="1:7" x14ac:dyDescent="0.3">
      <c r="A74" s="9" t="str">
        <f t="shared" si="1"/>
        <v>S13-1600</v>
      </c>
      <c r="B74" s="52" t="s">
        <v>175</v>
      </c>
      <c r="C74" s="48">
        <v>1600</v>
      </c>
      <c r="D74" s="48">
        <v>1170</v>
      </c>
      <c r="E74" s="48">
        <v>14500</v>
      </c>
      <c r="F74" s="48">
        <v>4.5</v>
      </c>
      <c r="G74" s="48">
        <v>0.2</v>
      </c>
    </row>
    <row r="75" spans="1:7" x14ac:dyDescent="0.3">
      <c r="A75" s="9" t="str">
        <f t="shared" si="1"/>
        <v>SH15-30</v>
      </c>
      <c r="B75" s="52" t="s">
        <v>176</v>
      </c>
      <c r="C75" s="48">
        <v>30</v>
      </c>
      <c r="D75" s="48">
        <v>33</v>
      </c>
      <c r="E75" s="48">
        <v>630</v>
      </c>
      <c r="F75" s="48">
        <v>4</v>
      </c>
      <c r="G75" s="48">
        <v>1.3</v>
      </c>
    </row>
    <row r="76" spans="1:7" x14ac:dyDescent="0.3">
      <c r="A76" s="9" t="str">
        <f t="shared" si="1"/>
        <v>SH15-50</v>
      </c>
      <c r="B76" s="52" t="s">
        <v>176</v>
      </c>
      <c r="C76" s="48">
        <v>50</v>
      </c>
      <c r="D76" s="48">
        <v>43</v>
      </c>
      <c r="E76" s="48">
        <v>910</v>
      </c>
      <c r="F76" s="48">
        <v>4</v>
      </c>
      <c r="G76" s="48">
        <v>1.2</v>
      </c>
    </row>
    <row r="77" spans="1:7" x14ac:dyDescent="0.3">
      <c r="A77" s="9" t="str">
        <f t="shared" si="1"/>
        <v>SH15-63</v>
      </c>
      <c r="B77" s="52" t="s">
        <v>176</v>
      </c>
      <c r="C77" s="48">
        <v>63</v>
      </c>
      <c r="D77" s="48">
        <v>50</v>
      </c>
      <c r="E77" s="48">
        <v>1090</v>
      </c>
      <c r="F77" s="48">
        <v>4</v>
      </c>
      <c r="G77" s="48">
        <v>1.1000000000000001</v>
      </c>
    </row>
    <row r="78" spans="1:7" x14ac:dyDescent="0.3">
      <c r="A78" s="9" t="str">
        <f t="shared" si="1"/>
        <v>SH15-80</v>
      </c>
      <c r="B78" s="52" t="s">
        <v>176</v>
      </c>
      <c r="C78" s="48">
        <v>80</v>
      </c>
      <c r="D78" s="48">
        <v>60</v>
      </c>
      <c r="E78" s="48">
        <v>1310</v>
      </c>
      <c r="F78" s="48">
        <v>4</v>
      </c>
      <c r="G78" s="48">
        <v>1</v>
      </c>
    </row>
    <row r="79" spans="1:7" x14ac:dyDescent="0.3">
      <c r="A79" s="9" t="str">
        <f t="shared" si="1"/>
        <v>SH15-100</v>
      </c>
      <c r="B79" s="52" t="s">
        <v>176</v>
      </c>
      <c r="C79" s="48">
        <v>100</v>
      </c>
      <c r="D79" s="48">
        <v>75</v>
      </c>
      <c r="E79" s="48">
        <v>1580</v>
      </c>
      <c r="F79" s="48">
        <v>4</v>
      </c>
      <c r="G79" s="48">
        <v>0.9</v>
      </c>
    </row>
    <row r="80" spans="1:7" x14ac:dyDescent="0.3">
      <c r="A80" s="9" t="str">
        <f t="shared" si="1"/>
        <v>SH15-125</v>
      </c>
      <c r="B80" s="52" t="s">
        <v>176</v>
      </c>
      <c r="C80" s="48">
        <v>125</v>
      </c>
      <c r="D80" s="48">
        <v>85</v>
      </c>
      <c r="E80" s="48">
        <v>1890</v>
      </c>
      <c r="F80" s="48">
        <v>4</v>
      </c>
      <c r="G80" s="48">
        <v>0.8</v>
      </c>
    </row>
    <row r="81" spans="1:7" x14ac:dyDescent="0.3">
      <c r="A81" s="9" t="str">
        <f t="shared" si="1"/>
        <v>SH15-160</v>
      </c>
      <c r="B81" s="52" t="s">
        <v>176</v>
      </c>
      <c r="C81" s="48">
        <v>160</v>
      </c>
      <c r="D81" s="48">
        <v>100</v>
      </c>
      <c r="E81" s="48">
        <v>2310</v>
      </c>
      <c r="F81" s="48">
        <v>4</v>
      </c>
      <c r="G81" s="48">
        <v>0.6</v>
      </c>
    </row>
    <row r="82" spans="1:7" x14ac:dyDescent="0.3">
      <c r="A82" s="9" t="str">
        <f t="shared" si="1"/>
        <v>SH15-200</v>
      </c>
      <c r="B82" s="52" t="s">
        <v>176</v>
      </c>
      <c r="C82" s="48">
        <v>200</v>
      </c>
      <c r="D82" s="48">
        <v>120</v>
      </c>
      <c r="E82" s="48">
        <v>2730</v>
      </c>
      <c r="F82" s="48">
        <v>4</v>
      </c>
      <c r="G82" s="48">
        <v>0.6</v>
      </c>
    </row>
    <row r="83" spans="1:7" x14ac:dyDescent="0.3">
      <c r="A83" s="9" t="str">
        <f t="shared" si="1"/>
        <v>SH15-250</v>
      </c>
      <c r="B83" s="52" t="s">
        <v>176</v>
      </c>
      <c r="C83" s="48">
        <v>250</v>
      </c>
      <c r="D83" s="48">
        <v>140</v>
      </c>
      <c r="E83" s="48">
        <v>3200</v>
      </c>
      <c r="F83" s="48">
        <v>4</v>
      </c>
      <c r="G83" s="48">
        <v>0.6</v>
      </c>
    </row>
    <row r="84" spans="1:7" x14ac:dyDescent="0.3">
      <c r="A84" s="9" t="str">
        <f t="shared" si="1"/>
        <v>SH15-315</v>
      </c>
      <c r="B84" s="52" t="s">
        <v>176</v>
      </c>
      <c r="C84" s="48">
        <v>315</v>
      </c>
      <c r="D84" s="48">
        <v>170</v>
      </c>
      <c r="E84" s="48">
        <v>3830</v>
      </c>
      <c r="F84" s="48">
        <v>4</v>
      </c>
      <c r="G84" s="48">
        <v>0.5</v>
      </c>
    </row>
    <row r="85" spans="1:7" x14ac:dyDescent="0.3">
      <c r="A85" s="9" t="str">
        <f t="shared" si="1"/>
        <v>SH15-400</v>
      </c>
      <c r="B85" s="52" t="s">
        <v>176</v>
      </c>
      <c r="C85" s="48">
        <v>400</v>
      </c>
      <c r="D85" s="48">
        <v>200</v>
      </c>
      <c r="E85" s="48">
        <v>4520</v>
      </c>
      <c r="F85" s="48">
        <v>4</v>
      </c>
      <c r="G85" s="48">
        <v>0.5</v>
      </c>
    </row>
    <row r="86" spans="1:7" x14ac:dyDescent="0.3">
      <c r="A86" s="9" t="str">
        <f t="shared" si="1"/>
        <v>SH15-500</v>
      </c>
      <c r="B86" s="52" t="s">
        <v>176</v>
      </c>
      <c r="C86" s="48">
        <v>500</v>
      </c>
      <c r="D86" s="48">
        <v>240</v>
      </c>
      <c r="E86" s="48">
        <v>5410</v>
      </c>
      <c r="F86" s="48">
        <v>4</v>
      </c>
      <c r="G86" s="48">
        <v>0.5</v>
      </c>
    </row>
    <row r="87" spans="1:7" x14ac:dyDescent="0.3">
      <c r="A87" s="9" t="str">
        <f t="shared" si="1"/>
        <v>SH15-630</v>
      </c>
      <c r="B87" s="52" t="s">
        <v>176</v>
      </c>
      <c r="C87" s="48">
        <v>630</v>
      </c>
      <c r="D87" s="48">
        <v>320</v>
      </c>
      <c r="E87" s="48">
        <v>6200</v>
      </c>
      <c r="F87" s="48">
        <v>4.5</v>
      </c>
      <c r="G87" s="48">
        <v>0.3</v>
      </c>
    </row>
    <row r="88" spans="1:7" x14ac:dyDescent="0.3">
      <c r="A88" s="9" t="str">
        <f t="shared" si="1"/>
        <v>SH15-800</v>
      </c>
      <c r="B88" s="52" t="s">
        <v>176</v>
      </c>
      <c r="C88" s="48">
        <v>800</v>
      </c>
      <c r="D88" s="48">
        <v>380</v>
      </c>
      <c r="E88" s="48">
        <v>7500</v>
      </c>
      <c r="F88" s="48">
        <v>4.5</v>
      </c>
      <c r="G88" s="48">
        <v>0.3</v>
      </c>
    </row>
    <row r="89" spans="1:7" x14ac:dyDescent="0.3">
      <c r="A89" s="9" t="str">
        <f t="shared" si="1"/>
        <v>SH15-1000</v>
      </c>
      <c r="B89" s="52" t="s">
        <v>176</v>
      </c>
      <c r="C89" s="48">
        <v>1000</v>
      </c>
      <c r="D89" s="48">
        <v>450</v>
      </c>
      <c r="E89" s="48">
        <v>10300</v>
      </c>
      <c r="F89" s="48">
        <v>4.5</v>
      </c>
      <c r="G89" s="48">
        <v>0.3</v>
      </c>
    </row>
    <row r="90" spans="1:7" x14ac:dyDescent="0.3">
      <c r="A90" s="9" t="str">
        <f t="shared" si="1"/>
        <v>SH15-1250</v>
      </c>
      <c r="B90" s="52" t="s">
        <v>176</v>
      </c>
      <c r="C90" s="48">
        <v>1250</v>
      </c>
      <c r="D90" s="48">
        <v>530</v>
      </c>
      <c r="E90" s="48">
        <v>12000</v>
      </c>
      <c r="F90" s="48">
        <v>4.5</v>
      </c>
      <c r="G90" s="48">
        <v>0.3</v>
      </c>
    </row>
    <row r="91" spans="1:7" x14ac:dyDescent="0.3">
      <c r="A91" s="9" t="str">
        <f t="shared" si="1"/>
        <v>SH15-1600</v>
      </c>
      <c r="B91" s="52" t="s">
        <v>176</v>
      </c>
      <c r="C91" s="48">
        <v>1600</v>
      </c>
      <c r="D91" s="48">
        <v>630</v>
      </c>
      <c r="E91" s="48">
        <v>14500</v>
      </c>
      <c r="F91" s="48">
        <v>4.5</v>
      </c>
      <c r="G91" s="48">
        <v>0.2</v>
      </c>
    </row>
    <row r="92" spans="1:7" x14ac:dyDescent="0.3">
      <c r="A92" s="9" t="str">
        <f t="shared" si="1"/>
        <v>SH15-2000</v>
      </c>
      <c r="B92" s="52" t="s">
        <v>176</v>
      </c>
      <c r="C92" s="48">
        <v>2000</v>
      </c>
      <c r="D92" s="48">
        <v>750</v>
      </c>
      <c r="E92" s="48">
        <v>13300</v>
      </c>
      <c r="F92" s="48">
        <v>4.5</v>
      </c>
      <c r="G92" s="48">
        <v>0.2</v>
      </c>
    </row>
    <row r="93" spans="1:7" x14ac:dyDescent="0.3">
      <c r="A93" s="9" t="str">
        <f t="shared" si="1"/>
        <v>SH15-2500</v>
      </c>
      <c r="B93" s="52" t="s">
        <v>176</v>
      </c>
      <c r="C93" s="48">
        <v>2500</v>
      </c>
      <c r="D93" s="48">
        <v>900</v>
      </c>
      <c r="E93" s="48">
        <v>21200</v>
      </c>
      <c r="F93" s="48">
        <v>4.5</v>
      </c>
      <c r="G93" s="48">
        <v>0.2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8"/>
  <sheetViews>
    <sheetView workbookViewId="0">
      <selection activeCell="A21" sqref="A21:XFD21"/>
    </sheetView>
  </sheetViews>
  <sheetFormatPr defaultColWidth="9" defaultRowHeight="13.5" x14ac:dyDescent="0.3"/>
  <cols>
    <col min="1" max="1" width="10" style="1" customWidth="1"/>
    <col min="2" max="2" width="13.3984375" style="1" customWidth="1"/>
    <col min="3" max="3" width="14.59765625" style="1" customWidth="1"/>
    <col min="4" max="4" width="11.46484375" style="1" customWidth="1"/>
    <col min="5" max="5" width="9.1328125" style="1" customWidth="1"/>
    <col min="6" max="7" width="9.59765625" style="1" customWidth="1"/>
    <col min="8" max="8" width="10" style="1" customWidth="1"/>
    <col min="9" max="9" width="9.73046875" style="1" customWidth="1"/>
    <col min="10" max="11" width="9.46484375" style="1" customWidth="1"/>
    <col min="12" max="16384" width="9" style="1"/>
  </cols>
  <sheetData>
    <row r="1" spans="1:21" ht="31.9" customHeight="1" x14ac:dyDescent="0.3">
      <c r="A1" s="27" t="s">
        <v>43</v>
      </c>
    </row>
    <row r="2" spans="1:21" ht="31.9" customHeight="1" x14ac:dyDescent="0.3">
      <c r="A2" s="6" t="s">
        <v>4</v>
      </c>
    </row>
    <row r="4" spans="1:21" s="2" customFormat="1" ht="29.65" x14ac:dyDescent="0.3">
      <c r="A4" s="3" t="s">
        <v>44</v>
      </c>
      <c r="B4" s="3" t="s">
        <v>25</v>
      </c>
      <c r="C4" s="3" t="s">
        <v>26</v>
      </c>
      <c r="D4" s="4" t="s">
        <v>20</v>
      </c>
      <c r="E4" s="4" t="s">
        <v>22</v>
      </c>
      <c r="F4" s="4" t="s">
        <v>23</v>
      </c>
      <c r="G4" s="4" t="s">
        <v>37</v>
      </c>
    </row>
    <row r="5" spans="1:21" x14ac:dyDescent="0.3">
      <c r="A5" s="17" t="s">
        <v>10</v>
      </c>
      <c r="B5" s="17" t="str">
        <f>A2</f>
        <v>nc10kVbus</v>
      </c>
      <c r="C5" s="17" t="s">
        <v>5</v>
      </c>
      <c r="D5" s="6">
        <v>70</v>
      </c>
      <c r="E5" s="6"/>
      <c r="F5" s="6"/>
      <c r="G5" s="6">
        <v>0.8</v>
      </c>
    </row>
    <row r="6" spans="1:21" x14ac:dyDescent="0.3">
      <c r="A6" s="17" t="s">
        <v>11</v>
      </c>
      <c r="B6" s="17" t="s">
        <v>5</v>
      </c>
      <c r="C6" s="17" t="s">
        <v>6</v>
      </c>
      <c r="D6" s="6">
        <v>70</v>
      </c>
      <c r="E6" s="6"/>
      <c r="F6" s="6"/>
      <c r="G6" s="6">
        <v>0.7</v>
      </c>
    </row>
    <row r="7" spans="1:21" x14ac:dyDescent="0.3">
      <c r="A7" s="17" t="s">
        <v>12</v>
      </c>
      <c r="B7" s="17" t="s">
        <v>6</v>
      </c>
      <c r="C7" s="17" t="s">
        <v>7</v>
      </c>
      <c r="D7" s="6">
        <v>70</v>
      </c>
      <c r="E7" s="6"/>
      <c r="F7" s="6"/>
      <c r="G7" s="6">
        <v>1</v>
      </c>
    </row>
    <row r="8" spans="1:21" x14ac:dyDescent="0.3">
      <c r="A8" s="17" t="s">
        <v>13</v>
      </c>
      <c r="B8" s="17" t="s">
        <v>6</v>
      </c>
      <c r="C8" s="17" t="s">
        <v>8</v>
      </c>
      <c r="D8" s="6">
        <v>70</v>
      </c>
      <c r="E8" s="6"/>
      <c r="F8" s="6"/>
      <c r="G8" s="6">
        <v>5</v>
      </c>
    </row>
    <row r="9" spans="1:21" x14ac:dyDescent="0.3">
      <c r="A9" s="17" t="s">
        <v>14</v>
      </c>
      <c r="B9" s="17" t="s">
        <v>8</v>
      </c>
      <c r="C9" s="17" t="s">
        <v>9</v>
      </c>
      <c r="D9" s="6">
        <v>70</v>
      </c>
      <c r="E9" s="6"/>
      <c r="F9" s="6"/>
      <c r="G9" s="18">
        <v>5</v>
      </c>
    </row>
    <row r="10" spans="1:21" x14ac:dyDescent="0.3">
      <c r="A10" s="17"/>
      <c r="B10" s="17"/>
      <c r="C10" s="17"/>
      <c r="D10" s="6"/>
      <c r="E10" s="6"/>
      <c r="F10" s="6"/>
      <c r="G10" s="6"/>
      <c r="H10" s="6"/>
      <c r="I10" s="6"/>
      <c r="J10" s="6"/>
      <c r="K10" s="6"/>
    </row>
    <row r="11" spans="1:21" ht="60.6" customHeight="1" x14ac:dyDescent="0.3">
      <c r="A11" s="3" t="s">
        <v>45</v>
      </c>
      <c r="B11" s="3" t="s">
        <v>24</v>
      </c>
      <c r="C11" s="3" t="s">
        <v>27</v>
      </c>
      <c r="D11" s="4" t="s">
        <v>21</v>
      </c>
      <c r="E11" s="4" t="s">
        <v>38</v>
      </c>
      <c r="F11" s="4" t="s">
        <v>28</v>
      </c>
      <c r="G11" s="4" t="s">
        <v>29</v>
      </c>
      <c r="H11" s="4" t="s">
        <v>39</v>
      </c>
      <c r="I11" s="4" t="s">
        <v>40</v>
      </c>
      <c r="J11" s="4" t="s">
        <v>31</v>
      </c>
      <c r="K11" s="4" t="s">
        <v>32</v>
      </c>
      <c r="L11" s="4" t="s">
        <v>30</v>
      </c>
      <c r="M11" s="25" t="s">
        <v>41</v>
      </c>
      <c r="N11" s="25" t="s">
        <v>42</v>
      </c>
      <c r="O11" s="25" t="s">
        <v>34</v>
      </c>
      <c r="P11" s="25" t="s">
        <v>35</v>
      </c>
      <c r="Q11" s="25" t="s">
        <v>36</v>
      </c>
      <c r="S11" s="4" t="s">
        <v>0</v>
      </c>
      <c r="T11" s="4" t="s">
        <v>1</v>
      </c>
      <c r="U11" s="4" t="s">
        <v>33</v>
      </c>
    </row>
    <row r="12" spans="1:21" x14ac:dyDescent="0.3">
      <c r="A12" s="17" t="s">
        <v>15</v>
      </c>
      <c r="B12" s="17" t="s">
        <v>5</v>
      </c>
      <c r="C12" s="17" t="str">
        <f>A12</f>
        <v>T1</v>
      </c>
      <c r="D12" s="6" t="s">
        <v>2</v>
      </c>
      <c r="E12" s="6">
        <v>50</v>
      </c>
      <c r="F12" s="6">
        <v>10.5</v>
      </c>
      <c r="G12" s="6">
        <v>0.4</v>
      </c>
      <c r="H12" s="56">
        <f>VLOOKUP($D12&amp;"-"&amp;$E12,变压器参数库!$A$2:$G$193,4,0)</f>
        <v>170</v>
      </c>
      <c r="I12" s="56">
        <f>VLOOKUP($D12&amp;"-"&amp;$E12,变压器参数库!$A$2:$G$193,5,0)</f>
        <v>870</v>
      </c>
      <c r="J12" s="56">
        <f>VLOOKUP($D12&amp;"-"&amp;$E12,变压器参数库!$A$2:$G$193,6,0)</f>
        <v>4</v>
      </c>
      <c r="K12" s="56">
        <f>VLOOKUP($D12&amp;"-"&amp;$E12,变压器参数库!$A$2:$G$193,7,0)</f>
        <v>2</v>
      </c>
      <c r="L12" s="1" t="s">
        <v>225</v>
      </c>
      <c r="M12" s="26">
        <f t="shared" ref="M12:N15" si="0">H12/1000/$E12*100</f>
        <v>0.34</v>
      </c>
      <c r="N12" s="26">
        <f t="shared" si="0"/>
        <v>1.7399999999999998</v>
      </c>
      <c r="O12" s="6">
        <f>1+S12*U12/100</f>
        <v>1.1000000000000001</v>
      </c>
      <c r="P12" s="6">
        <f>1-T12*U12/100</f>
        <v>0.9</v>
      </c>
      <c r="Q12" s="6">
        <f>S12+T12</f>
        <v>8</v>
      </c>
      <c r="S12" s="6">
        <v>4</v>
      </c>
      <c r="T12" s="6">
        <v>4</v>
      </c>
      <c r="U12" s="6">
        <v>2.5</v>
      </c>
    </row>
    <row r="13" spans="1:21" x14ac:dyDescent="0.3">
      <c r="A13" s="17" t="s">
        <v>212</v>
      </c>
      <c r="B13" s="17" t="s">
        <v>8</v>
      </c>
      <c r="C13" s="17" t="str">
        <f>A13</f>
        <v>T2</v>
      </c>
      <c r="D13" s="6" t="s">
        <v>2</v>
      </c>
      <c r="E13" s="6">
        <v>160</v>
      </c>
      <c r="F13" s="6">
        <v>10.5</v>
      </c>
      <c r="G13" s="6">
        <v>0.4</v>
      </c>
      <c r="H13" s="56">
        <f>VLOOKUP($D13&amp;"-"&amp;$E13,变压器参数库!$A$2:$G$193,4,0)</f>
        <v>400</v>
      </c>
      <c r="I13" s="56">
        <f>VLOOKUP($D13&amp;"-"&amp;$E13,变压器参数库!$A$2:$G$193,5,0)</f>
        <v>2200</v>
      </c>
      <c r="J13" s="56">
        <f>VLOOKUP($D13&amp;"-"&amp;$E13,变压器参数库!$A$2:$G$193,6,0)</f>
        <v>4</v>
      </c>
      <c r="K13" s="56">
        <f>VLOOKUP($D13&amp;"-"&amp;$E13,变压器参数库!$A$2:$G$193,7,0)</f>
        <v>1.6</v>
      </c>
      <c r="L13" s="1" t="s">
        <v>225</v>
      </c>
      <c r="M13" s="26">
        <f t="shared" si="0"/>
        <v>0.25</v>
      </c>
      <c r="N13" s="26">
        <f t="shared" si="0"/>
        <v>1.3750000000000002</v>
      </c>
      <c r="O13" s="6">
        <f>1+S13*U13/100</f>
        <v>1.1000000000000001</v>
      </c>
      <c r="P13" s="6">
        <f>1-T13*U13/100</f>
        <v>0.9</v>
      </c>
      <c r="Q13" s="6">
        <f>S13+T13</f>
        <v>8</v>
      </c>
      <c r="S13" s="6">
        <v>4</v>
      </c>
      <c r="T13" s="6">
        <v>4</v>
      </c>
      <c r="U13" s="6">
        <v>2.5</v>
      </c>
    </row>
    <row r="14" spans="1:21" x14ac:dyDescent="0.3">
      <c r="A14" s="17" t="s">
        <v>16</v>
      </c>
      <c r="B14" s="17" t="s">
        <v>9</v>
      </c>
      <c r="C14" s="17" t="str">
        <f>A14</f>
        <v>T3</v>
      </c>
      <c r="D14" s="6" t="s">
        <v>2</v>
      </c>
      <c r="E14" s="6">
        <v>200</v>
      </c>
      <c r="F14" s="6">
        <v>10.5</v>
      </c>
      <c r="G14" s="6">
        <v>0.4</v>
      </c>
      <c r="H14" s="56">
        <f>VLOOKUP($D14&amp;"-"&amp;$E14,变压器参数库!$A$2:$G$193,4,0)</f>
        <v>480</v>
      </c>
      <c r="I14" s="56">
        <f>VLOOKUP($D14&amp;"-"&amp;$E14,变压器参数库!$A$2:$G$193,5,0)</f>
        <v>2600</v>
      </c>
      <c r="J14" s="56">
        <f>VLOOKUP($D14&amp;"-"&amp;$E14,变压器参数库!$A$2:$G$193,6,0)</f>
        <v>4</v>
      </c>
      <c r="K14" s="56">
        <f>VLOOKUP($D14&amp;"-"&amp;$E14,变压器参数库!$A$2:$G$193,7,0)</f>
        <v>1.5</v>
      </c>
      <c r="L14" s="1" t="s">
        <v>225</v>
      </c>
      <c r="M14" s="26">
        <f t="shared" si="0"/>
        <v>0.24</v>
      </c>
      <c r="N14" s="26">
        <f t="shared" si="0"/>
        <v>1.3</v>
      </c>
      <c r="O14" s="6">
        <f>1+S14*U14/100</f>
        <v>1.1000000000000001</v>
      </c>
      <c r="P14" s="6">
        <f>1-T14*U14/100</f>
        <v>0.9</v>
      </c>
      <c r="Q14" s="6">
        <f>S14+T14</f>
        <v>8</v>
      </c>
      <c r="S14" s="6">
        <v>4</v>
      </c>
      <c r="T14" s="6">
        <v>4</v>
      </c>
      <c r="U14" s="6">
        <v>2.5</v>
      </c>
    </row>
    <row r="15" spans="1:21" x14ac:dyDescent="0.3">
      <c r="A15" s="17" t="s">
        <v>213</v>
      </c>
      <c r="B15" s="17" t="s">
        <v>7</v>
      </c>
      <c r="C15" s="17" t="str">
        <f>A15</f>
        <v>T4</v>
      </c>
      <c r="D15" s="6" t="s">
        <v>2</v>
      </c>
      <c r="E15" s="6">
        <v>100</v>
      </c>
      <c r="F15" s="6">
        <v>10.5</v>
      </c>
      <c r="G15" s="6">
        <v>0.4</v>
      </c>
      <c r="H15" s="56">
        <f>VLOOKUP($D15&amp;"-"&amp;$E15,变压器参数库!$A$2:$G$193,4,0)</f>
        <v>290</v>
      </c>
      <c r="I15" s="56">
        <f>VLOOKUP($D15&amp;"-"&amp;$E15,变压器参数库!$A$2:$G$193,5,0)</f>
        <v>1500</v>
      </c>
      <c r="J15" s="56">
        <f>VLOOKUP($D15&amp;"-"&amp;$E15,变压器参数库!$A$2:$G$193,6,0)</f>
        <v>4</v>
      </c>
      <c r="K15" s="56">
        <f>VLOOKUP($D15&amp;"-"&amp;$E15,变压器参数库!$A$2:$G$193,7,0)</f>
        <v>1.8</v>
      </c>
      <c r="L15" s="63" t="s">
        <v>310</v>
      </c>
      <c r="M15" s="26">
        <f t="shared" si="0"/>
        <v>0.28999999999999998</v>
      </c>
      <c r="N15" s="26">
        <f t="shared" si="0"/>
        <v>1.5</v>
      </c>
      <c r="O15" s="6">
        <f>1+S15*U15/100</f>
        <v>1.1000000000000001</v>
      </c>
      <c r="P15" s="6">
        <f>1-T15*U15/100</f>
        <v>0.9</v>
      </c>
      <c r="Q15" s="6">
        <f>S15+T15</f>
        <v>8</v>
      </c>
      <c r="S15" s="6">
        <v>4</v>
      </c>
      <c r="T15" s="6">
        <v>4</v>
      </c>
      <c r="U15" s="6">
        <v>2.5</v>
      </c>
    </row>
    <row r="16" spans="1:21" x14ac:dyDescent="0.3">
      <c r="A16" s="16"/>
      <c r="B16" s="5"/>
      <c r="C16" s="5"/>
      <c r="D16" s="6"/>
      <c r="E16" s="6"/>
      <c r="F16" s="6"/>
      <c r="G16" s="6"/>
      <c r="H16" s="6"/>
      <c r="I16" s="6"/>
      <c r="J16" s="6"/>
      <c r="K16" s="6"/>
    </row>
    <row r="17" spans="1:15" ht="32.450000000000003" customHeight="1" x14ac:dyDescent="0.3">
      <c r="A17" s="3" t="s">
        <v>160</v>
      </c>
      <c r="B17" s="3" t="s">
        <v>161</v>
      </c>
      <c r="C17" s="3" t="s">
        <v>162</v>
      </c>
      <c r="D17" s="60" t="s">
        <v>123</v>
      </c>
      <c r="E17" s="60" t="s">
        <v>125</v>
      </c>
      <c r="F17" s="60" t="s">
        <v>127</v>
      </c>
      <c r="G17" s="60" t="s">
        <v>215</v>
      </c>
      <c r="H17" s="60" t="s">
        <v>134</v>
      </c>
      <c r="I17" s="6"/>
      <c r="J17" s="6"/>
      <c r="K17" s="6"/>
    </row>
    <row r="18" spans="1:15" s="33" customFormat="1" x14ac:dyDescent="0.3">
      <c r="A18" s="40"/>
      <c r="B18" s="41"/>
      <c r="C18" s="41"/>
      <c r="D18" s="41"/>
      <c r="E18" s="41"/>
      <c r="F18" s="41"/>
      <c r="G18" s="41"/>
      <c r="H18" s="41"/>
      <c r="I18" s="41"/>
      <c r="J18" s="41"/>
      <c r="K18" s="41"/>
    </row>
    <row r="19" spans="1:15" x14ac:dyDescent="0.3">
      <c r="A19" s="7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5" ht="39.4" x14ac:dyDescent="0.3">
      <c r="A20" s="3" t="s">
        <v>361</v>
      </c>
      <c r="B20" s="3" t="s">
        <v>161</v>
      </c>
      <c r="C20" s="3" t="s">
        <v>162</v>
      </c>
      <c r="D20" s="60" t="s">
        <v>348</v>
      </c>
      <c r="E20" s="60" t="s">
        <v>362</v>
      </c>
      <c r="F20" s="60" t="s">
        <v>363</v>
      </c>
      <c r="G20" s="60" t="s">
        <v>364</v>
      </c>
      <c r="H20" s="60" t="s">
        <v>125</v>
      </c>
      <c r="I20" s="60" t="s">
        <v>356</v>
      </c>
      <c r="J20" s="60" t="s">
        <v>365</v>
      </c>
      <c r="K20" s="60" t="s">
        <v>370</v>
      </c>
      <c r="L20" s="60" t="s">
        <v>366</v>
      </c>
      <c r="M20" s="60" t="s">
        <v>430</v>
      </c>
      <c r="N20" s="60" t="s">
        <v>428</v>
      </c>
      <c r="O20" s="60" t="s">
        <v>433</v>
      </c>
    </row>
    <row r="21" spans="1:15" x14ac:dyDescent="0.3">
      <c r="A21" s="40" t="s">
        <v>388</v>
      </c>
      <c r="B21" s="41" t="s">
        <v>163</v>
      </c>
      <c r="C21" s="41">
        <v>10.5</v>
      </c>
      <c r="D21" s="41">
        <v>1000</v>
      </c>
      <c r="E21" s="41">
        <v>0.8</v>
      </c>
      <c r="F21" s="41">
        <v>1000</v>
      </c>
      <c r="G21" s="41">
        <v>25</v>
      </c>
      <c r="H21" s="6">
        <v>1</v>
      </c>
      <c r="I21" s="6" t="s">
        <v>367</v>
      </c>
      <c r="J21" s="6" t="s">
        <v>368</v>
      </c>
      <c r="K21" s="6" t="s">
        <v>371</v>
      </c>
      <c r="L21" s="6" t="s">
        <v>372</v>
      </c>
      <c r="M21" s="6">
        <v>0.1</v>
      </c>
      <c r="N21" s="6">
        <v>0.1</v>
      </c>
      <c r="O21" s="68" t="s">
        <v>434</v>
      </c>
    </row>
    <row r="22" spans="1:15" x14ac:dyDescent="0.3">
      <c r="A22" s="7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5" x14ac:dyDescent="0.3">
      <c r="A23" s="7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5" x14ac:dyDescent="0.3">
      <c r="A24" s="7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5" x14ac:dyDescent="0.3">
      <c r="A25" s="7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3">
      <c r="A26" s="7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3">
      <c r="A27" s="7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3">
      <c r="A28" s="7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5" x14ac:dyDescent="0.3">
      <c r="A29" s="7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5" x14ac:dyDescent="0.3">
      <c r="A30" s="7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5" x14ac:dyDescent="0.3">
      <c r="A31" s="7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5" x14ac:dyDescent="0.3">
      <c r="A32" s="7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3">
      <c r="A33" s="7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3">
      <c r="A34" s="7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3">
      <c r="A35" s="7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3">
      <c r="A36" s="7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3">
      <c r="A37" s="7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3">
      <c r="A38" s="7"/>
      <c r="B38" s="6"/>
      <c r="C38" s="6"/>
      <c r="D38" s="6"/>
      <c r="E38" s="6"/>
      <c r="F38" s="6"/>
      <c r="G38" s="6"/>
      <c r="H38" s="6"/>
      <c r="I38" s="6"/>
      <c r="J38" s="6"/>
      <c r="K38" s="6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InsertBlankLine">
                <anchor moveWithCells="1" sizeWithCells="1">
                  <from>
                    <xdr:col>11</xdr:col>
                    <xdr:colOff>57150</xdr:colOff>
                    <xdr:row>3</xdr:row>
                    <xdr:rowOff>38100</xdr:rowOff>
                  </from>
                  <to>
                    <xdr:col>13</xdr:col>
                    <xdr:colOff>9525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B105"/>
  <sheetViews>
    <sheetView topLeftCell="A65" workbookViewId="0">
      <selection activeCell="E96" sqref="E96"/>
    </sheetView>
  </sheetViews>
  <sheetFormatPr defaultColWidth="9" defaultRowHeight="13.5" x14ac:dyDescent="0.3"/>
  <cols>
    <col min="1" max="1" width="19.59765625" style="1" customWidth="1"/>
    <col min="2" max="4" width="13.3984375" style="1" customWidth="1"/>
    <col min="5" max="5" width="11.73046875" style="1" customWidth="1"/>
    <col min="6" max="6" width="13.86328125" style="1" customWidth="1"/>
    <col min="7" max="8" width="13.1328125" style="1" bestFit="1" customWidth="1"/>
    <col min="9" max="9" width="12.1328125" style="1" bestFit="1" customWidth="1"/>
    <col min="10" max="10" width="11.86328125" style="1" customWidth="1"/>
    <col min="11" max="11" width="9.59765625" style="5" customWidth="1"/>
    <col min="12" max="12" width="11.265625" style="5" customWidth="1"/>
    <col min="13" max="13" width="11" style="1" customWidth="1"/>
    <col min="14" max="14" width="12.265625" style="1" customWidth="1"/>
    <col min="15" max="15" width="15.73046875" style="1" customWidth="1"/>
    <col min="16" max="16" width="14.3984375" style="1" customWidth="1"/>
    <col min="17" max="17" width="14.1328125" style="1" customWidth="1"/>
    <col min="18" max="18" width="12.3984375" style="1" customWidth="1"/>
    <col min="19" max="20" width="12.73046875" style="1" customWidth="1"/>
    <col min="21" max="21" width="12.86328125" style="5" customWidth="1"/>
    <col min="22" max="22" width="11.59765625" style="5" customWidth="1"/>
    <col min="23" max="23" width="11.86328125" style="1" customWidth="1"/>
    <col min="24" max="24" width="13.265625" style="1" customWidth="1"/>
    <col min="25" max="16384" width="9" style="1"/>
  </cols>
  <sheetData>
    <row r="1" spans="1:28" s="10" customFormat="1" ht="37.9" customHeight="1" x14ac:dyDescent="0.3">
      <c r="A1" s="8" t="s">
        <v>226</v>
      </c>
      <c r="B1" s="8" t="s">
        <v>152</v>
      </c>
      <c r="C1" s="8" t="s">
        <v>153</v>
      </c>
      <c r="D1" s="8" t="s">
        <v>3</v>
      </c>
      <c r="E1" s="8" t="s">
        <v>140</v>
      </c>
      <c r="F1" s="8" t="s">
        <v>141</v>
      </c>
      <c r="G1" s="15"/>
      <c r="H1" s="15"/>
      <c r="I1" s="15"/>
      <c r="J1" s="15"/>
      <c r="K1" s="15"/>
      <c r="L1" s="15"/>
      <c r="M1" s="15"/>
      <c r="N1" s="15"/>
      <c r="Q1" s="11"/>
    </row>
    <row r="2" spans="1:28" x14ac:dyDescent="0.3">
      <c r="A2" s="35" t="s">
        <v>137</v>
      </c>
      <c r="B2" s="36">
        <v>24</v>
      </c>
      <c r="C2" s="37">
        <v>1</v>
      </c>
      <c r="D2" s="34">
        <v>0</v>
      </c>
      <c r="E2" s="9">
        <v>200</v>
      </c>
      <c r="F2" s="9">
        <f>E2*0.3263</f>
        <v>65.259999999999991</v>
      </c>
      <c r="G2" s="12"/>
      <c r="H2" s="12"/>
      <c r="I2" s="12"/>
      <c r="J2" s="12"/>
      <c r="K2" s="13"/>
      <c r="L2" s="13"/>
      <c r="M2" s="12"/>
      <c r="N2" s="12"/>
    </row>
    <row r="3" spans="1:28" x14ac:dyDescent="0.3">
      <c r="A3" s="14"/>
      <c r="B3" s="36"/>
      <c r="C3" s="37"/>
      <c r="D3" s="34">
        <v>4.1666666666666664E-2</v>
      </c>
      <c r="E3" s="9">
        <v>220</v>
      </c>
      <c r="F3" s="9">
        <f t="shared" ref="F3:F25" si="0">E3*0.3263</f>
        <v>71.786000000000001</v>
      </c>
      <c r="G3" s="12"/>
      <c r="H3" s="12"/>
      <c r="I3" s="12"/>
      <c r="J3" s="12"/>
      <c r="K3" s="13"/>
      <c r="L3" s="13"/>
      <c r="M3" s="12"/>
      <c r="N3" s="12"/>
    </row>
    <row r="4" spans="1:28" x14ac:dyDescent="0.3">
      <c r="A4" s="14"/>
      <c r="B4" s="36"/>
      <c r="C4" s="37"/>
      <c r="D4" s="34">
        <v>8.3333333333333329E-2</v>
      </c>
      <c r="E4" s="9">
        <v>240</v>
      </c>
      <c r="F4" s="9">
        <f t="shared" si="0"/>
        <v>78.311999999999998</v>
      </c>
      <c r="G4" s="12"/>
      <c r="H4" s="12"/>
      <c r="I4" s="12"/>
      <c r="J4" s="12"/>
      <c r="K4" s="13"/>
      <c r="L4" s="13"/>
      <c r="M4" s="12"/>
      <c r="N4" s="12"/>
    </row>
    <row r="5" spans="1:28" x14ac:dyDescent="0.3">
      <c r="A5" s="14"/>
      <c r="B5" s="36"/>
      <c r="C5" s="37"/>
      <c r="D5" s="34">
        <v>0.125</v>
      </c>
      <c r="E5" s="9">
        <v>260</v>
      </c>
      <c r="F5" s="9">
        <f t="shared" si="0"/>
        <v>84.837999999999994</v>
      </c>
      <c r="G5" s="12"/>
      <c r="H5" s="12"/>
      <c r="I5" s="12"/>
      <c r="J5" s="12"/>
      <c r="K5" s="13"/>
      <c r="L5" s="13"/>
      <c r="M5" s="12"/>
      <c r="N5" s="12"/>
      <c r="P5" s="7"/>
    </row>
    <row r="6" spans="1:28" x14ac:dyDescent="0.3">
      <c r="A6" s="14"/>
      <c r="B6" s="36"/>
      <c r="C6" s="37"/>
      <c r="D6" s="34">
        <v>0.16666666666666666</v>
      </c>
      <c r="E6" s="9">
        <v>280</v>
      </c>
      <c r="F6" s="9">
        <f t="shared" si="0"/>
        <v>91.36399999999999</v>
      </c>
      <c r="G6" s="12"/>
      <c r="H6" s="12"/>
      <c r="I6" s="12"/>
      <c r="J6" s="12"/>
      <c r="K6" s="13"/>
      <c r="L6" s="13"/>
      <c r="M6" s="12"/>
      <c r="N6" s="12"/>
      <c r="P6" s="7"/>
    </row>
    <row r="7" spans="1:28" x14ac:dyDescent="0.3">
      <c r="A7" s="14"/>
      <c r="B7" s="36"/>
      <c r="C7" s="37"/>
      <c r="D7" s="34">
        <v>0.20833333333333334</v>
      </c>
      <c r="E7" s="9">
        <v>300</v>
      </c>
      <c r="F7" s="9">
        <f t="shared" si="0"/>
        <v>97.89</v>
      </c>
      <c r="G7" s="12"/>
      <c r="H7" s="12"/>
      <c r="I7" s="12"/>
      <c r="J7" s="12"/>
      <c r="K7" s="13"/>
      <c r="L7" s="13"/>
      <c r="M7" s="12"/>
      <c r="N7" s="12"/>
      <c r="P7" s="7"/>
    </row>
    <row r="8" spans="1:28" x14ac:dyDescent="0.3">
      <c r="A8" s="14"/>
      <c r="B8" s="36"/>
      <c r="C8" s="37"/>
      <c r="D8" s="34">
        <v>0.25</v>
      </c>
      <c r="E8" s="9">
        <v>320</v>
      </c>
      <c r="F8" s="9">
        <f t="shared" si="0"/>
        <v>104.416</v>
      </c>
      <c r="G8" s="12"/>
      <c r="H8" s="12"/>
      <c r="I8" s="12"/>
      <c r="J8" s="12"/>
      <c r="K8" s="13"/>
      <c r="L8" s="13"/>
      <c r="M8" s="12"/>
      <c r="N8" s="12"/>
      <c r="P8" s="7"/>
    </row>
    <row r="9" spans="1:28" x14ac:dyDescent="0.3">
      <c r="A9" s="14"/>
      <c r="B9" s="36"/>
      <c r="C9" s="37"/>
      <c r="D9" s="34">
        <v>0.29166666666666669</v>
      </c>
      <c r="E9" s="9">
        <v>340</v>
      </c>
      <c r="F9" s="9">
        <f t="shared" si="0"/>
        <v>110.94199999999999</v>
      </c>
      <c r="G9" s="12"/>
      <c r="H9" s="12"/>
      <c r="I9" s="12"/>
      <c r="J9" s="12"/>
      <c r="K9" s="13"/>
      <c r="L9" s="13"/>
      <c r="M9" s="12"/>
      <c r="N9" s="12"/>
      <c r="P9" s="7"/>
      <c r="Q9" s="12"/>
      <c r="R9" s="12"/>
      <c r="S9" s="12"/>
      <c r="T9" s="12"/>
      <c r="U9" s="13"/>
      <c r="V9" s="13"/>
      <c r="W9" s="12"/>
      <c r="X9" s="12"/>
      <c r="Y9" s="12"/>
      <c r="Z9" s="12"/>
      <c r="AA9" s="12"/>
      <c r="AB9" s="12"/>
    </row>
    <row r="10" spans="1:28" x14ac:dyDescent="0.3">
      <c r="A10" s="14"/>
      <c r="B10" s="36"/>
      <c r="C10" s="37"/>
      <c r="D10" s="34">
        <v>0.33333333333333331</v>
      </c>
      <c r="E10" s="9">
        <v>360</v>
      </c>
      <c r="F10" s="9">
        <f t="shared" si="0"/>
        <v>117.46799999999999</v>
      </c>
      <c r="G10" s="12"/>
      <c r="H10" s="12"/>
      <c r="I10" s="12"/>
      <c r="J10" s="12"/>
      <c r="K10" s="13"/>
      <c r="L10" s="13"/>
      <c r="M10" s="12"/>
      <c r="N10" s="12"/>
      <c r="P10" s="7"/>
      <c r="Q10" s="12"/>
      <c r="R10" s="12"/>
      <c r="S10" s="12"/>
      <c r="T10" s="12"/>
      <c r="U10" s="13"/>
      <c r="V10" s="13"/>
      <c r="W10" s="12"/>
      <c r="X10" s="12"/>
      <c r="Y10" s="12"/>
      <c r="Z10" s="12"/>
      <c r="AA10" s="12"/>
      <c r="AB10" s="12"/>
    </row>
    <row r="11" spans="1:28" x14ac:dyDescent="0.3">
      <c r="A11" s="14"/>
      <c r="B11" s="36"/>
      <c r="C11" s="37"/>
      <c r="D11" s="34">
        <v>0.375</v>
      </c>
      <c r="E11" s="9">
        <v>345</v>
      </c>
      <c r="F11" s="9">
        <f t="shared" si="0"/>
        <v>112.5735</v>
      </c>
      <c r="G11" s="12"/>
      <c r="H11" s="12"/>
      <c r="I11" s="12"/>
      <c r="J11" s="12"/>
      <c r="K11" s="13"/>
      <c r="L11" s="13"/>
      <c r="M11" s="12"/>
      <c r="N11" s="12"/>
      <c r="P11" s="7"/>
      <c r="Q11" s="12"/>
      <c r="R11" s="12"/>
      <c r="S11" s="12"/>
      <c r="T11" s="12"/>
      <c r="U11" s="12"/>
      <c r="V11" s="12"/>
      <c r="W11" s="13"/>
      <c r="X11" s="13"/>
      <c r="Y11" s="12"/>
      <c r="Z11" s="12"/>
      <c r="AA11" s="12"/>
      <c r="AB11" s="12"/>
    </row>
    <row r="12" spans="1:28" x14ac:dyDescent="0.3">
      <c r="A12" s="14"/>
      <c r="B12" s="36"/>
      <c r="C12" s="37"/>
      <c r="D12" s="34">
        <v>0.41666666666666669</v>
      </c>
      <c r="E12" s="9">
        <v>330</v>
      </c>
      <c r="F12" s="9">
        <f t="shared" si="0"/>
        <v>107.67899999999999</v>
      </c>
      <c r="G12" s="12"/>
      <c r="H12" s="12"/>
      <c r="I12" s="12"/>
      <c r="J12" s="12"/>
      <c r="K12" s="13"/>
      <c r="L12" s="13"/>
      <c r="M12" s="12"/>
      <c r="N12" s="12"/>
      <c r="P12" s="7"/>
      <c r="Q12" s="12"/>
      <c r="R12" s="12"/>
      <c r="S12" s="12"/>
      <c r="T12" s="12"/>
      <c r="U12" s="13"/>
      <c r="V12" s="13"/>
      <c r="W12" s="12"/>
      <c r="X12" s="12"/>
      <c r="Y12" s="12"/>
      <c r="Z12" s="12"/>
      <c r="AA12" s="12"/>
      <c r="AB12" s="12"/>
    </row>
    <row r="13" spans="1:28" x14ac:dyDescent="0.3">
      <c r="A13" s="14"/>
      <c r="B13" s="36"/>
      <c r="C13" s="37"/>
      <c r="D13" s="34">
        <v>0.45833333333333331</v>
      </c>
      <c r="E13" s="9">
        <v>315</v>
      </c>
      <c r="F13" s="9">
        <f t="shared" si="0"/>
        <v>102.78449999999999</v>
      </c>
      <c r="G13" s="12"/>
      <c r="H13" s="12"/>
      <c r="I13" s="12"/>
      <c r="J13" s="12"/>
      <c r="K13" s="13"/>
      <c r="L13" s="13"/>
      <c r="M13" s="12"/>
      <c r="N13" s="12"/>
      <c r="P13" s="7"/>
      <c r="Q13" s="12"/>
      <c r="R13" s="12"/>
      <c r="S13" s="12"/>
      <c r="T13" s="12"/>
      <c r="U13" s="13"/>
      <c r="V13" s="13"/>
      <c r="W13" s="12"/>
      <c r="X13" s="12"/>
      <c r="Y13" s="12"/>
      <c r="Z13" s="12"/>
      <c r="AA13" s="12"/>
      <c r="AB13" s="12"/>
    </row>
    <row r="14" spans="1:28" x14ac:dyDescent="0.3">
      <c r="A14" s="14"/>
      <c r="B14" s="36"/>
      <c r="C14" s="37"/>
      <c r="D14" s="34">
        <v>0.5</v>
      </c>
      <c r="E14" s="9">
        <v>300</v>
      </c>
      <c r="F14" s="9">
        <f t="shared" si="0"/>
        <v>97.89</v>
      </c>
      <c r="G14" s="12"/>
      <c r="H14" s="12"/>
      <c r="I14" s="12"/>
      <c r="J14" s="12"/>
      <c r="K14" s="13"/>
      <c r="L14" s="13"/>
      <c r="M14" s="12"/>
      <c r="N14" s="12"/>
      <c r="P14" s="12"/>
      <c r="Q14" s="12"/>
      <c r="R14" s="12"/>
      <c r="S14" s="12"/>
      <c r="T14" s="12"/>
      <c r="U14" s="13"/>
      <c r="V14" s="13"/>
      <c r="W14" s="12"/>
      <c r="X14" s="12"/>
      <c r="Y14" s="12"/>
      <c r="Z14" s="12"/>
      <c r="AA14" s="12"/>
      <c r="AB14" s="12"/>
    </row>
    <row r="15" spans="1:28" x14ac:dyDescent="0.3">
      <c r="A15" s="14"/>
      <c r="B15" s="36"/>
      <c r="C15" s="37"/>
      <c r="D15" s="34">
        <v>0.54166666666666663</v>
      </c>
      <c r="E15" s="9">
        <v>285</v>
      </c>
      <c r="F15" s="9">
        <f t="shared" si="0"/>
        <v>92.995499999999993</v>
      </c>
      <c r="G15" s="12"/>
      <c r="H15" s="12"/>
      <c r="I15" s="12"/>
      <c r="J15" s="12"/>
      <c r="K15" s="13"/>
      <c r="L15" s="13"/>
      <c r="M15" s="12"/>
      <c r="N15" s="12"/>
      <c r="P15" s="12"/>
      <c r="Q15" s="12"/>
      <c r="R15" s="12"/>
      <c r="S15" s="12"/>
      <c r="T15" s="12"/>
      <c r="U15" s="13"/>
      <c r="V15" s="13"/>
      <c r="W15" s="12"/>
      <c r="X15" s="12"/>
      <c r="Y15" s="12"/>
      <c r="Z15" s="12"/>
      <c r="AA15" s="12"/>
      <c r="AB15" s="12"/>
    </row>
    <row r="16" spans="1:28" x14ac:dyDescent="0.3">
      <c r="A16" s="14"/>
      <c r="B16" s="36"/>
      <c r="C16" s="37"/>
      <c r="D16" s="34">
        <v>0.58333333333333337</v>
      </c>
      <c r="E16" s="9">
        <v>270</v>
      </c>
      <c r="F16" s="9">
        <f t="shared" si="0"/>
        <v>88.100999999999999</v>
      </c>
      <c r="G16" s="12"/>
      <c r="H16" s="12"/>
      <c r="I16" s="12"/>
      <c r="J16" s="12"/>
      <c r="K16" s="13"/>
      <c r="L16" s="13"/>
      <c r="M16" s="12"/>
      <c r="N16" s="12"/>
      <c r="P16" s="12"/>
      <c r="Q16" s="12"/>
      <c r="R16" s="12"/>
      <c r="S16" s="12"/>
      <c r="T16" s="12"/>
      <c r="U16" s="13"/>
      <c r="V16" s="13"/>
      <c r="W16" s="12"/>
      <c r="X16" s="12"/>
      <c r="Y16" s="12"/>
      <c r="Z16" s="12"/>
      <c r="AA16" s="12"/>
      <c r="AB16" s="12"/>
    </row>
    <row r="17" spans="1:28" x14ac:dyDescent="0.3">
      <c r="A17" s="14"/>
      <c r="B17" s="36"/>
      <c r="C17" s="37"/>
      <c r="D17" s="34">
        <v>0.625</v>
      </c>
      <c r="E17" s="9">
        <v>255</v>
      </c>
      <c r="F17" s="9">
        <f t="shared" si="0"/>
        <v>83.206499999999991</v>
      </c>
      <c r="G17" s="12"/>
      <c r="H17" s="12"/>
      <c r="I17" s="12"/>
      <c r="J17" s="12"/>
      <c r="K17" s="13"/>
      <c r="L17" s="13"/>
      <c r="M17" s="12"/>
      <c r="N17" s="12"/>
      <c r="P17" s="12"/>
      <c r="Q17" s="12"/>
      <c r="R17" s="12"/>
      <c r="S17" s="12"/>
      <c r="T17" s="12"/>
      <c r="U17" s="13"/>
      <c r="V17" s="13"/>
      <c r="W17" s="12"/>
      <c r="X17" s="12"/>
      <c r="Y17" s="12"/>
      <c r="Z17" s="12"/>
      <c r="AA17" s="12"/>
      <c r="AB17" s="12"/>
    </row>
    <row r="18" spans="1:28" x14ac:dyDescent="0.3">
      <c r="A18" s="14"/>
      <c r="B18" s="36"/>
      <c r="C18" s="37"/>
      <c r="D18" s="34">
        <v>0.66666666666666663</v>
      </c>
      <c r="E18" s="9">
        <v>240</v>
      </c>
      <c r="F18" s="9">
        <f t="shared" si="0"/>
        <v>78.311999999999998</v>
      </c>
      <c r="G18" s="12"/>
      <c r="H18" s="12"/>
      <c r="I18" s="12"/>
      <c r="J18" s="12"/>
      <c r="K18" s="13"/>
      <c r="L18" s="13"/>
      <c r="M18" s="12"/>
      <c r="N18" s="12"/>
      <c r="P18" s="12"/>
      <c r="Q18" s="12"/>
      <c r="R18" s="12"/>
      <c r="S18" s="12"/>
      <c r="T18" s="12"/>
      <c r="U18" s="13"/>
      <c r="V18" s="13"/>
      <c r="W18" s="12"/>
      <c r="X18" s="12"/>
      <c r="Y18" s="12"/>
      <c r="Z18" s="12"/>
      <c r="AA18" s="12"/>
      <c r="AB18" s="12"/>
    </row>
    <row r="19" spans="1:28" x14ac:dyDescent="0.3">
      <c r="A19" s="14"/>
      <c r="B19" s="36"/>
      <c r="C19" s="37"/>
      <c r="D19" s="34">
        <v>0.70833333333333337</v>
      </c>
      <c r="E19" s="9">
        <v>225</v>
      </c>
      <c r="F19" s="9">
        <f t="shared" si="0"/>
        <v>73.41749999999999</v>
      </c>
      <c r="G19" s="12"/>
      <c r="H19" s="12"/>
      <c r="I19" s="12"/>
      <c r="J19" s="12"/>
      <c r="K19" s="13"/>
      <c r="L19" s="13"/>
      <c r="M19" s="12"/>
      <c r="N19" s="12"/>
      <c r="P19" s="12"/>
      <c r="Q19" s="12"/>
      <c r="R19" s="12"/>
      <c r="S19" s="12"/>
      <c r="T19" s="12"/>
      <c r="U19" s="13"/>
      <c r="V19" s="13"/>
      <c r="W19" s="12"/>
      <c r="X19" s="12"/>
      <c r="Y19" s="12"/>
      <c r="Z19" s="12"/>
      <c r="AA19" s="12"/>
      <c r="AB19" s="12"/>
    </row>
    <row r="20" spans="1:28" x14ac:dyDescent="0.3">
      <c r="A20" s="14"/>
      <c r="B20" s="36"/>
      <c r="C20" s="37"/>
      <c r="D20" s="34">
        <v>0.75</v>
      </c>
      <c r="E20" s="9">
        <v>210</v>
      </c>
      <c r="F20" s="9">
        <f t="shared" si="0"/>
        <v>68.522999999999996</v>
      </c>
      <c r="G20" s="12"/>
      <c r="H20" s="12"/>
      <c r="I20" s="12"/>
      <c r="J20" s="12"/>
      <c r="K20" s="13"/>
      <c r="L20" s="13"/>
      <c r="M20" s="12"/>
      <c r="N20" s="12"/>
      <c r="P20" s="12"/>
      <c r="Q20" s="12"/>
      <c r="R20" s="12"/>
      <c r="S20" s="12"/>
      <c r="T20" s="12"/>
      <c r="U20" s="13"/>
      <c r="V20" s="13"/>
      <c r="W20" s="12"/>
      <c r="X20" s="12"/>
      <c r="Y20" s="12"/>
      <c r="Z20" s="12"/>
      <c r="AA20" s="12"/>
      <c r="AB20" s="12"/>
    </row>
    <row r="21" spans="1:28" x14ac:dyDescent="0.3">
      <c r="A21" s="14"/>
      <c r="B21" s="36"/>
      <c r="C21" s="37"/>
      <c r="D21" s="34">
        <v>0.79166666666666663</v>
      </c>
      <c r="E21" s="9">
        <v>195</v>
      </c>
      <c r="F21" s="9">
        <f t="shared" si="0"/>
        <v>63.628499999999995</v>
      </c>
      <c r="G21" s="12"/>
      <c r="H21" s="12"/>
      <c r="I21" s="12"/>
      <c r="J21" s="12"/>
      <c r="K21" s="13"/>
      <c r="L21" s="13"/>
      <c r="M21" s="12"/>
      <c r="N21" s="12"/>
      <c r="P21" s="12"/>
      <c r="Q21" s="12"/>
      <c r="R21" s="12"/>
      <c r="S21" s="12"/>
      <c r="T21" s="12"/>
      <c r="U21" s="13"/>
      <c r="V21" s="13"/>
      <c r="W21" s="12"/>
      <c r="X21" s="12"/>
      <c r="Y21" s="12"/>
      <c r="Z21" s="12"/>
      <c r="AA21" s="12"/>
      <c r="AB21" s="12"/>
    </row>
    <row r="22" spans="1:28" x14ac:dyDescent="0.3">
      <c r="A22" s="14"/>
      <c r="B22" s="36"/>
      <c r="C22" s="37"/>
      <c r="D22" s="34">
        <v>0.83333333333333337</v>
      </c>
      <c r="E22" s="9">
        <v>180</v>
      </c>
      <c r="F22" s="9">
        <f t="shared" si="0"/>
        <v>58.733999999999995</v>
      </c>
      <c r="G22" s="12"/>
      <c r="H22" s="12"/>
      <c r="I22" s="12"/>
      <c r="J22" s="12"/>
      <c r="K22" s="13"/>
      <c r="L22" s="13"/>
      <c r="M22" s="12"/>
      <c r="N22" s="12"/>
      <c r="P22" s="12"/>
      <c r="Q22" s="12"/>
      <c r="R22" s="12"/>
      <c r="S22" s="12"/>
      <c r="T22" s="12"/>
      <c r="U22" s="13"/>
      <c r="V22" s="13"/>
      <c r="W22" s="12"/>
      <c r="X22" s="12"/>
      <c r="Y22" s="12"/>
      <c r="Z22" s="12"/>
      <c r="AA22" s="12"/>
      <c r="AB22" s="12"/>
    </row>
    <row r="23" spans="1:28" x14ac:dyDescent="0.3">
      <c r="A23" s="14"/>
      <c r="B23" s="36"/>
      <c r="C23" s="37"/>
      <c r="D23" s="34">
        <v>0.875</v>
      </c>
      <c r="E23" s="9">
        <v>200</v>
      </c>
      <c r="F23" s="9">
        <f t="shared" si="0"/>
        <v>65.259999999999991</v>
      </c>
      <c r="G23" s="12"/>
      <c r="H23" s="12"/>
      <c r="I23" s="12"/>
      <c r="J23" s="12"/>
      <c r="K23" s="13"/>
      <c r="L23" s="13"/>
      <c r="M23" s="12"/>
      <c r="N23" s="12"/>
      <c r="P23" s="12"/>
      <c r="Q23" s="12"/>
      <c r="R23" s="12"/>
      <c r="S23" s="12"/>
      <c r="T23" s="12"/>
      <c r="U23" s="13"/>
      <c r="V23" s="13"/>
      <c r="W23" s="12"/>
      <c r="X23" s="12"/>
      <c r="Y23" s="12"/>
      <c r="Z23" s="12"/>
      <c r="AA23" s="12"/>
      <c r="AB23" s="12"/>
    </row>
    <row r="24" spans="1:28" x14ac:dyDescent="0.3">
      <c r="A24" s="14"/>
      <c r="B24" s="36"/>
      <c r="C24" s="37"/>
      <c r="D24" s="34">
        <v>0.91666666666666663</v>
      </c>
      <c r="E24" s="9">
        <v>215</v>
      </c>
      <c r="F24" s="9">
        <f t="shared" si="0"/>
        <v>70.154499999999999</v>
      </c>
      <c r="G24" s="12"/>
      <c r="H24" s="12"/>
      <c r="I24" s="12"/>
      <c r="J24" s="12"/>
      <c r="K24" s="13"/>
      <c r="L24" s="13"/>
      <c r="M24" s="12"/>
      <c r="N24" s="12"/>
      <c r="P24" s="12"/>
      <c r="Q24" s="12"/>
      <c r="R24" s="12"/>
      <c r="S24" s="12"/>
      <c r="T24" s="12"/>
      <c r="U24" s="13"/>
      <c r="V24" s="13"/>
      <c r="W24" s="12"/>
      <c r="X24" s="12"/>
      <c r="Y24" s="12"/>
      <c r="Z24" s="12"/>
      <c r="AA24" s="12"/>
      <c r="AB24" s="12"/>
    </row>
    <row r="25" spans="1:28" x14ac:dyDescent="0.3">
      <c r="A25" s="14"/>
      <c r="B25" s="36"/>
      <c r="C25" s="37"/>
      <c r="D25" s="34">
        <v>0.95833333333333337</v>
      </c>
      <c r="E25" s="9">
        <v>230</v>
      </c>
      <c r="F25" s="9">
        <f t="shared" si="0"/>
        <v>75.048999999999992</v>
      </c>
      <c r="G25" s="12"/>
      <c r="H25" s="12"/>
      <c r="I25" s="12"/>
      <c r="J25" s="12"/>
      <c r="K25" s="13"/>
      <c r="L25" s="13"/>
      <c r="M25" s="12"/>
      <c r="N25" s="12"/>
      <c r="P25" s="12"/>
      <c r="Q25" s="12"/>
      <c r="R25" s="12"/>
      <c r="S25" s="12"/>
      <c r="T25" s="12"/>
      <c r="U25" s="13"/>
      <c r="V25" s="13"/>
      <c r="W25" s="12"/>
      <c r="X25" s="12"/>
      <c r="Y25" s="12"/>
      <c r="Z25" s="12"/>
      <c r="AA25" s="12"/>
      <c r="AB25" s="12"/>
    </row>
    <row r="26" spans="1:28" x14ac:dyDescent="0.3">
      <c r="K26" s="1"/>
      <c r="L26" s="1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</row>
    <row r="27" spans="1:28" x14ac:dyDescent="0.3">
      <c r="K27" s="1"/>
      <c r="L27" s="1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1:28" x14ac:dyDescent="0.3">
      <c r="F28" s="20"/>
      <c r="K28" s="1"/>
      <c r="L28" s="1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</row>
    <row r="29" spans="1:28" ht="35.25" x14ac:dyDescent="0.3">
      <c r="A29" s="8" t="s">
        <v>136</v>
      </c>
      <c r="B29" s="8" t="s">
        <v>152</v>
      </c>
      <c r="C29" s="8" t="s">
        <v>153</v>
      </c>
      <c r="D29" s="8" t="s">
        <v>3</v>
      </c>
      <c r="E29" s="8" t="s">
        <v>139</v>
      </c>
      <c r="F29" s="8" t="s">
        <v>151</v>
      </c>
      <c r="K29" s="1"/>
      <c r="L29" s="1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</row>
    <row r="30" spans="1:28" x14ac:dyDescent="0.3">
      <c r="A30" s="35" t="s">
        <v>138</v>
      </c>
      <c r="B30" s="36">
        <v>24</v>
      </c>
      <c r="C30" s="38">
        <v>1</v>
      </c>
      <c r="D30" s="34">
        <v>0</v>
      </c>
      <c r="E30" s="9">
        <v>10.1</v>
      </c>
      <c r="F30" s="1">
        <v>10.5</v>
      </c>
      <c r="K30" s="1"/>
      <c r="L30" s="1"/>
      <c r="U30" s="1"/>
      <c r="V30" s="1"/>
    </row>
    <row r="31" spans="1:28" x14ac:dyDescent="0.3">
      <c r="A31" s="14"/>
      <c r="B31" s="36"/>
      <c r="C31" s="37"/>
      <c r="D31" s="34">
        <v>4.1666666666666664E-2</v>
      </c>
      <c r="E31" s="9">
        <v>10.199999999999999</v>
      </c>
      <c r="K31" s="1"/>
      <c r="L31" s="1"/>
      <c r="U31" s="1"/>
      <c r="V31" s="1"/>
    </row>
    <row r="32" spans="1:28" x14ac:dyDescent="0.3">
      <c r="A32" s="14"/>
      <c r="B32" s="36"/>
      <c r="C32" s="37"/>
      <c r="D32" s="34">
        <v>8.3333333333333329E-2</v>
      </c>
      <c r="E32" s="9">
        <v>10.3</v>
      </c>
      <c r="K32" s="1"/>
      <c r="L32" s="1"/>
      <c r="U32" s="1"/>
      <c r="V32" s="1"/>
    </row>
    <row r="33" spans="1:22" x14ac:dyDescent="0.3">
      <c r="A33" s="14"/>
      <c r="B33" s="36"/>
      <c r="C33" s="37"/>
      <c r="D33" s="34">
        <v>0.125</v>
      </c>
      <c r="E33" s="9">
        <v>10.4</v>
      </c>
      <c r="K33" s="1"/>
      <c r="L33" s="1"/>
      <c r="U33" s="1"/>
      <c r="V33" s="1"/>
    </row>
    <row r="34" spans="1:22" x14ac:dyDescent="0.3">
      <c r="A34" s="14"/>
      <c r="B34" s="36"/>
      <c r="C34" s="37"/>
      <c r="D34" s="34">
        <v>0.16666666666666666</v>
      </c>
      <c r="E34" s="9">
        <v>10.5</v>
      </c>
      <c r="K34" s="1"/>
      <c r="L34" s="1"/>
      <c r="U34" s="1"/>
      <c r="V34" s="1"/>
    </row>
    <row r="35" spans="1:22" x14ac:dyDescent="0.3">
      <c r="A35" s="14"/>
      <c r="B35" s="36"/>
      <c r="C35" s="37"/>
      <c r="D35" s="34">
        <v>0.20833333333333334</v>
      </c>
      <c r="E35" s="9">
        <v>10.6</v>
      </c>
      <c r="K35" s="1"/>
      <c r="L35" s="1"/>
      <c r="U35" s="1"/>
      <c r="V35" s="1"/>
    </row>
    <row r="36" spans="1:22" x14ac:dyDescent="0.3">
      <c r="A36" s="14"/>
      <c r="B36" s="36"/>
      <c r="C36" s="37"/>
      <c r="D36" s="34">
        <v>0.25</v>
      </c>
      <c r="E36" s="9">
        <v>10.7</v>
      </c>
      <c r="K36" s="1"/>
      <c r="L36" s="1"/>
      <c r="U36" s="1"/>
      <c r="V36" s="1"/>
    </row>
    <row r="37" spans="1:22" x14ac:dyDescent="0.3">
      <c r="A37" s="14"/>
      <c r="B37" s="36"/>
      <c r="C37" s="37"/>
      <c r="D37" s="34">
        <v>0.29166666666666669</v>
      </c>
      <c r="E37" s="9">
        <v>10.8</v>
      </c>
      <c r="K37" s="1"/>
      <c r="L37" s="1"/>
      <c r="U37" s="1"/>
      <c r="V37" s="1"/>
    </row>
    <row r="38" spans="1:22" x14ac:dyDescent="0.3">
      <c r="A38" s="14"/>
      <c r="B38" s="36"/>
      <c r="C38" s="37"/>
      <c r="D38" s="34">
        <v>0.33333333333333331</v>
      </c>
      <c r="E38" s="9">
        <v>10.9</v>
      </c>
      <c r="K38" s="1"/>
      <c r="L38" s="1"/>
      <c r="U38" s="1"/>
      <c r="V38" s="1"/>
    </row>
    <row r="39" spans="1:22" x14ac:dyDescent="0.3">
      <c r="A39" s="14"/>
      <c r="B39" s="36"/>
      <c r="C39" s="37"/>
      <c r="D39" s="34">
        <v>0.375</v>
      </c>
      <c r="E39" s="9">
        <v>10.8</v>
      </c>
      <c r="K39" s="1"/>
      <c r="L39" s="1"/>
      <c r="U39" s="1"/>
      <c r="V39" s="1"/>
    </row>
    <row r="40" spans="1:22" x14ac:dyDescent="0.3">
      <c r="A40" s="14"/>
      <c r="B40" s="36"/>
      <c r="C40" s="37"/>
      <c r="D40" s="34">
        <v>0.41666666666666669</v>
      </c>
      <c r="E40" s="9">
        <v>10.7</v>
      </c>
      <c r="K40" s="1"/>
      <c r="L40" s="1"/>
      <c r="U40" s="1"/>
      <c r="V40" s="1"/>
    </row>
    <row r="41" spans="1:22" x14ac:dyDescent="0.3">
      <c r="A41" s="14"/>
      <c r="B41" s="36"/>
      <c r="C41" s="37"/>
      <c r="D41" s="34">
        <v>0.45833333333333331</v>
      </c>
      <c r="E41" s="9">
        <v>10.6</v>
      </c>
      <c r="K41" s="1"/>
      <c r="L41" s="1"/>
      <c r="U41" s="1"/>
      <c r="V41" s="1"/>
    </row>
    <row r="42" spans="1:22" x14ac:dyDescent="0.3">
      <c r="A42" s="14"/>
      <c r="B42" s="36"/>
      <c r="C42" s="37"/>
      <c r="D42" s="34">
        <v>0.5</v>
      </c>
      <c r="E42" s="9">
        <v>10.5</v>
      </c>
      <c r="K42" s="1"/>
      <c r="L42" s="1"/>
      <c r="U42" s="1"/>
      <c r="V42" s="1"/>
    </row>
    <row r="43" spans="1:22" x14ac:dyDescent="0.3">
      <c r="A43" s="14"/>
      <c r="B43" s="36"/>
      <c r="C43" s="37"/>
      <c r="D43" s="34">
        <v>0.54166666666666663</v>
      </c>
      <c r="E43" s="9">
        <v>10.4</v>
      </c>
      <c r="K43" s="1"/>
      <c r="L43" s="1"/>
      <c r="U43" s="1"/>
      <c r="V43" s="1"/>
    </row>
    <row r="44" spans="1:22" x14ac:dyDescent="0.3">
      <c r="A44" s="14"/>
      <c r="B44" s="36"/>
      <c r="C44" s="37"/>
      <c r="D44" s="34">
        <v>0.58333333333333337</v>
      </c>
      <c r="E44" s="9">
        <v>10.3</v>
      </c>
      <c r="K44" s="1"/>
      <c r="L44" s="1"/>
      <c r="U44" s="1"/>
      <c r="V44" s="1"/>
    </row>
    <row r="45" spans="1:22" x14ac:dyDescent="0.3">
      <c r="A45" s="14"/>
      <c r="B45" s="36"/>
      <c r="C45" s="37"/>
      <c r="D45" s="34">
        <v>0.625</v>
      </c>
      <c r="E45" s="9">
        <v>10.199999999999999</v>
      </c>
      <c r="K45" s="1"/>
      <c r="L45" s="1"/>
      <c r="U45" s="1"/>
      <c r="V45" s="1"/>
    </row>
    <row r="46" spans="1:22" x14ac:dyDescent="0.3">
      <c r="A46" s="14"/>
      <c r="B46" s="36"/>
      <c r="C46" s="37"/>
      <c r="D46" s="34">
        <v>0.66666666666666663</v>
      </c>
      <c r="E46" s="9">
        <v>10.1</v>
      </c>
      <c r="K46" s="1"/>
      <c r="L46" s="1"/>
      <c r="U46" s="1"/>
      <c r="V46" s="1"/>
    </row>
    <row r="47" spans="1:22" x14ac:dyDescent="0.3">
      <c r="A47" s="14"/>
      <c r="B47" s="36"/>
      <c r="C47" s="37"/>
      <c r="D47" s="34">
        <v>0.70833333333333337</v>
      </c>
      <c r="E47" s="9">
        <v>10.199999999999999</v>
      </c>
      <c r="K47" s="1"/>
      <c r="L47" s="1"/>
      <c r="U47" s="1"/>
      <c r="V47" s="1"/>
    </row>
    <row r="48" spans="1:22" x14ac:dyDescent="0.3">
      <c r="A48" s="14"/>
      <c r="B48" s="36"/>
      <c r="C48" s="37"/>
      <c r="D48" s="34">
        <v>0.75</v>
      </c>
      <c r="E48" s="9">
        <v>10.3</v>
      </c>
      <c r="K48" s="1"/>
      <c r="L48" s="1"/>
      <c r="U48" s="1"/>
      <c r="V48" s="1"/>
    </row>
    <row r="49" spans="1:28" x14ac:dyDescent="0.3">
      <c r="A49" s="14"/>
      <c r="B49" s="36"/>
      <c r="C49" s="37"/>
      <c r="D49" s="34">
        <v>0.79166666666666663</v>
      </c>
      <c r="E49" s="9">
        <v>10.4</v>
      </c>
      <c r="K49" s="1"/>
      <c r="L49" s="1"/>
      <c r="U49" s="1"/>
      <c r="V49" s="1"/>
    </row>
    <row r="50" spans="1:28" x14ac:dyDescent="0.3">
      <c r="A50" s="14"/>
      <c r="B50" s="36"/>
      <c r="C50" s="37"/>
      <c r="D50" s="34">
        <v>0.83333333333333337</v>
      </c>
      <c r="E50" s="9">
        <v>10.5</v>
      </c>
      <c r="K50" s="1"/>
      <c r="L50" s="1"/>
      <c r="U50" s="1"/>
      <c r="V50" s="1"/>
    </row>
    <row r="51" spans="1:28" x14ac:dyDescent="0.3">
      <c r="A51" s="14"/>
      <c r="B51" s="36"/>
      <c r="C51" s="37"/>
      <c r="D51" s="34">
        <v>0.875</v>
      </c>
      <c r="E51" s="9">
        <v>10.6</v>
      </c>
      <c r="K51" s="1"/>
      <c r="L51" s="1"/>
      <c r="U51" s="1"/>
      <c r="V51" s="1"/>
    </row>
    <row r="52" spans="1:28" x14ac:dyDescent="0.3">
      <c r="A52" s="14"/>
      <c r="B52" s="36"/>
      <c r="C52" s="37"/>
      <c r="D52" s="34">
        <v>0.91666666666666663</v>
      </c>
      <c r="E52" s="9">
        <v>10.7</v>
      </c>
      <c r="K52" s="1"/>
      <c r="L52" s="1"/>
      <c r="U52" s="1"/>
      <c r="V52" s="1"/>
    </row>
    <row r="53" spans="1:28" x14ac:dyDescent="0.3">
      <c r="A53" s="14"/>
      <c r="B53" s="36"/>
      <c r="C53" s="37"/>
      <c r="D53" s="34">
        <v>0.95833333333333337</v>
      </c>
      <c r="E53" s="9">
        <v>10.8</v>
      </c>
      <c r="K53" s="1"/>
      <c r="L53" s="1"/>
      <c r="U53" s="1"/>
      <c r="V53" s="1"/>
    </row>
    <row r="54" spans="1:28" x14ac:dyDescent="0.3">
      <c r="A54" s="14"/>
      <c r="B54" s="36"/>
      <c r="C54" s="36"/>
      <c r="D54" s="14"/>
      <c r="E54" s="12"/>
      <c r="K54" s="1"/>
      <c r="L54" s="1"/>
      <c r="U54" s="1"/>
      <c r="V54" s="1"/>
    </row>
    <row r="55" spans="1:28" s="10" customFormat="1" ht="37.9" customHeight="1" x14ac:dyDescent="0.3">
      <c r="A55" s="8" t="s">
        <v>218</v>
      </c>
      <c r="B55" s="8" t="s">
        <v>152</v>
      </c>
      <c r="C55" s="8" t="s">
        <v>153</v>
      </c>
      <c r="D55" s="8" t="s">
        <v>3</v>
      </c>
      <c r="E55" s="8" t="s">
        <v>140</v>
      </c>
      <c r="F55" s="8" t="s">
        <v>141</v>
      </c>
      <c r="G55" s="15"/>
      <c r="H55" s="15"/>
      <c r="I55" s="15"/>
      <c r="J55" s="15"/>
      <c r="K55" s="15"/>
      <c r="L55" s="15"/>
      <c r="M55" s="15"/>
      <c r="N55" s="15"/>
      <c r="Q55" s="11"/>
    </row>
    <row r="56" spans="1:28" x14ac:dyDescent="0.3">
      <c r="A56" s="35" t="s">
        <v>214</v>
      </c>
      <c r="B56" s="36">
        <v>24</v>
      </c>
      <c r="C56" s="37">
        <v>1</v>
      </c>
      <c r="D56" s="34">
        <v>0</v>
      </c>
      <c r="E56" s="64">
        <v>0</v>
      </c>
      <c r="F56" s="9">
        <v>0</v>
      </c>
      <c r="G56" s="12"/>
      <c r="H56" s="63"/>
      <c r="I56" s="12"/>
      <c r="J56" s="12"/>
      <c r="K56" s="13"/>
      <c r="L56" s="13"/>
      <c r="M56" s="12"/>
      <c r="N56" s="12"/>
      <c r="U56" s="17"/>
      <c r="V56" s="17"/>
    </row>
    <row r="57" spans="1:28" x14ac:dyDescent="0.3">
      <c r="A57" s="14"/>
      <c r="B57" s="36"/>
      <c r="C57" s="37"/>
      <c r="D57" s="34">
        <v>4.1666666666666664E-2</v>
      </c>
      <c r="E57" s="64">
        <v>0</v>
      </c>
      <c r="F57" s="9">
        <v>0</v>
      </c>
      <c r="G57" s="12"/>
      <c r="H57" s="12"/>
      <c r="I57" s="12"/>
      <c r="J57" s="12"/>
      <c r="K57" s="13"/>
      <c r="L57" s="13"/>
      <c r="M57" s="12"/>
      <c r="N57" s="12"/>
      <c r="U57" s="17"/>
      <c r="V57" s="17"/>
    </row>
    <row r="58" spans="1:28" x14ac:dyDescent="0.3">
      <c r="A58" s="14"/>
      <c r="B58" s="36"/>
      <c r="C58" s="37"/>
      <c r="D58" s="34">
        <v>8.3333333333333329E-2</v>
      </c>
      <c r="E58" s="64">
        <v>0</v>
      </c>
      <c r="F58" s="9">
        <v>0</v>
      </c>
      <c r="G58" s="12"/>
      <c r="H58" s="12"/>
      <c r="I58" s="12"/>
      <c r="J58" s="12"/>
      <c r="K58" s="13"/>
      <c r="L58" s="13"/>
      <c r="M58" s="12"/>
      <c r="N58" s="12"/>
      <c r="U58" s="17"/>
      <c r="V58" s="17"/>
    </row>
    <row r="59" spans="1:28" x14ac:dyDescent="0.3">
      <c r="A59" s="14"/>
      <c r="B59" s="36"/>
      <c r="C59" s="37"/>
      <c r="D59" s="34">
        <v>0.125</v>
      </c>
      <c r="E59" s="64">
        <v>0</v>
      </c>
      <c r="F59" s="9">
        <v>0</v>
      </c>
      <c r="G59" s="12"/>
      <c r="H59" s="12"/>
      <c r="I59" s="12"/>
      <c r="J59" s="12"/>
      <c r="K59" s="13"/>
      <c r="L59" s="13"/>
      <c r="M59" s="12"/>
      <c r="N59" s="12"/>
      <c r="P59" s="7"/>
      <c r="U59" s="17"/>
      <c r="V59" s="17"/>
    </row>
    <row r="60" spans="1:28" x14ac:dyDescent="0.3">
      <c r="A60" s="14"/>
      <c r="B60" s="36"/>
      <c r="C60" s="37"/>
      <c r="D60" s="34">
        <v>0.16666666666666666</v>
      </c>
      <c r="E60" s="64">
        <v>0</v>
      </c>
      <c r="F60" s="9">
        <v>0</v>
      </c>
      <c r="G60" s="12"/>
      <c r="H60" s="12"/>
      <c r="I60" s="12"/>
      <c r="J60" s="12"/>
      <c r="K60" s="13"/>
      <c r="L60" s="13"/>
      <c r="M60" s="12"/>
      <c r="N60" s="12"/>
      <c r="P60" s="7"/>
      <c r="U60" s="17"/>
      <c r="V60" s="17"/>
    </row>
    <row r="61" spans="1:28" x14ac:dyDescent="0.3">
      <c r="A61" s="14"/>
      <c r="B61" s="36"/>
      <c r="C61" s="37"/>
      <c r="D61" s="34">
        <v>0.20833333333333334</v>
      </c>
      <c r="E61" s="64">
        <v>0</v>
      </c>
      <c r="F61" s="9">
        <v>0</v>
      </c>
      <c r="G61" s="12"/>
      <c r="H61" s="12"/>
      <c r="I61" s="12"/>
      <c r="J61" s="12"/>
      <c r="K61" s="13"/>
      <c r="L61" s="13"/>
      <c r="M61" s="12"/>
      <c r="N61" s="12"/>
      <c r="P61" s="7"/>
      <c r="U61" s="17"/>
      <c r="V61" s="17"/>
    </row>
    <row r="62" spans="1:28" x14ac:dyDescent="0.3">
      <c r="A62" s="14"/>
      <c r="B62" s="36"/>
      <c r="C62" s="37"/>
      <c r="D62" s="34">
        <v>0.25</v>
      </c>
      <c r="E62" s="64">
        <v>2.8654545454545457E-2</v>
      </c>
      <c r="F62" s="9">
        <v>0</v>
      </c>
      <c r="G62" s="12"/>
      <c r="H62" s="12"/>
      <c r="I62" s="12"/>
      <c r="J62" s="12"/>
      <c r="K62" s="13"/>
      <c r="L62" s="13"/>
      <c r="M62" s="12"/>
      <c r="N62" s="12"/>
      <c r="P62" s="7"/>
      <c r="U62" s="17"/>
      <c r="V62" s="17"/>
    </row>
    <row r="63" spans="1:28" x14ac:dyDescent="0.3">
      <c r="A63" s="14"/>
      <c r="B63" s="36"/>
      <c r="C63" s="37"/>
      <c r="D63" s="34">
        <v>0.29166666666666669</v>
      </c>
      <c r="E63" s="64">
        <v>8.8436363636363646E-2</v>
      </c>
      <c r="F63" s="9">
        <v>0</v>
      </c>
      <c r="G63" s="12"/>
      <c r="H63" s="12"/>
      <c r="I63" s="12"/>
      <c r="J63" s="12"/>
      <c r="K63" s="13"/>
      <c r="L63" s="13"/>
      <c r="M63" s="12"/>
      <c r="N63" s="12"/>
      <c r="P63" s="7"/>
      <c r="Q63" s="12"/>
      <c r="R63" s="12"/>
      <c r="S63" s="12"/>
      <c r="T63" s="12"/>
      <c r="U63" s="13"/>
      <c r="V63" s="13"/>
      <c r="W63" s="12"/>
      <c r="X63" s="12"/>
      <c r="Y63" s="12"/>
      <c r="Z63" s="12"/>
      <c r="AA63" s="12"/>
      <c r="AB63" s="12"/>
    </row>
    <row r="64" spans="1:28" x14ac:dyDescent="0.3">
      <c r="A64" s="14"/>
      <c r="B64" s="36"/>
      <c r="C64" s="37"/>
      <c r="D64" s="34">
        <v>0.33333333333333331</v>
      </c>
      <c r="E64" s="64">
        <v>0.20916363636363636</v>
      </c>
      <c r="F64" s="9">
        <v>0</v>
      </c>
      <c r="G64" s="12"/>
      <c r="H64" s="12"/>
      <c r="I64" s="12"/>
      <c r="J64" s="12"/>
      <c r="K64" s="13"/>
      <c r="L64" s="13"/>
      <c r="M64" s="12"/>
      <c r="N64" s="12"/>
      <c r="P64" s="7"/>
      <c r="Q64" s="12"/>
      <c r="R64" s="12"/>
      <c r="S64" s="12"/>
      <c r="T64" s="12"/>
      <c r="U64" s="13"/>
      <c r="V64" s="13"/>
      <c r="W64" s="12"/>
      <c r="X64" s="12"/>
      <c r="Y64" s="12"/>
      <c r="Z64" s="12"/>
      <c r="AA64" s="12"/>
      <c r="AB64" s="12"/>
    </row>
    <row r="65" spans="1:28" x14ac:dyDescent="0.3">
      <c r="A65" s="14"/>
      <c r="B65" s="36"/>
      <c r="C65" s="37"/>
      <c r="D65" s="34">
        <v>0.375</v>
      </c>
      <c r="E65" s="64">
        <v>0.3904727272727273</v>
      </c>
      <c r="F65" s="9">
        <v>0</v>
      </c>
      <c r="G65" s="12"/>
      <c r="H65" s="12"/>
      <c r="I65" s="12"/>
      <c r="J65" s="12"/>
      <c r="K65" s="13"/>
      <c r="L65" s="13"/>
      <c r="M65" s="12"/>
      <c r="N65" s="12"/>
      <c r="P65" s="7"/>
      <c r="Q65" s="12"/>
      <c r="R65" s="12"/>
      <c r="S65" s="12"/>
      <c r="T65" s="12"/>
      <c r="U65" s="12"/>
      <c r="V65" s="12"/>
      <c r="W65" s="13"/>
      <c r="X65" s="13"/>
      <c r="Y65" s="12"/>
      <c r="Z65" s="12"/>
      <c r="AA65" s="12"/>
      <c r="AB65" s="12"/>
    </row>
    <row r="66" spans="1:28" x14ac:dyDescent="0.3">
      <c r="A66" s="14"/>
      <c r="B66" s="36"/>
      <c r="C66" s="37"/>
      <c r="D66" s="34">
        <v>0.41666666666666669</v>
      </c>
      <c r="E66" s="64">
        <v>0.45847272727272731</v>
      </c>
      <c r="F66" s="9">
        <v>0</v>
      </c>
      <c r="G66" s="12"/>
      <c r="H66" s="12"/>
      <c r="I66" s="12"/>
      <c r="J66" s="12"/>
      <c r="K66" s="13"/>
      <c r="L66" s="13"/>
      <c r="M66" s="12"/>
      <c r="N66" s="12"/>
      <c r="P66" s="7"/>
      <c r="Q66" s="12"/>
      <c r="R66" s="12"/>
      <c r="S66" s="12"/>
      <c r="T66" s="12"/>
      <c r="U66" s="13"/>
      <c r="V66" s="13"/>
      <c r="W66" s="12"/>
      <c r="X66" s="12"/>
      <c r="Y66" s="12"/>
      <c r="Z66" s="12"/>
      <c r="AA66" s="12"/>
      <c r="AB66" s="12"/>
    </row>
    <row r="67" spans="1:28" x14ac:dyDescent="0.3">
      <c r="A67" s="14"/>
      <c r="B67" s="36"/>
      <c r="C67" s="37"/>
      <c r="D67" s="34">
        <v>0.45833333333333331</v>
      </c>
      <c r="E67" s="64">
        <v>0.74029090909090911</v>
      </c>
      <c r="F67" s="9">
        <v>0</v>
      </c>
      <c r="G67" s="12"/>
      <c r="H67" s="12"/>
      <c r="I67" s="12"/>
      <c r="J67" s="12"/>
      <c r="K67" s="13"/>
      <c r="L67" s="13"/>
      <c r="M67" s="12"/>
      <c r="N67" s="12"/>
      <c r="P67" s="7"/>
      <c r="Q67" s="12"/>
      <c r="R67" s="12"/>
      <c r="S67" s="12"/>
      <c r="T67" s="12"/>
      <c r="U67" s="13"/>
      <c r="V67" s="13"/>
      <c r="W67" s="12"/>
      <c r="X67" s="12"/>
      <c r="Y67" s="12"/>
      <c r="Z67" s="12"/>
      <c r="AA67" s="12"/>
      <c r="AB67" s="12"/>
    </row>
    <row r="68" spans="1:28" x14ac:dyDescent="0.3">
      <c r="A68" s="14"/>
      <c r="B68" s="36"/>
      <c r="C68" s="37"/>
      <c r="D68" s="34">
        <v>0.5</v>
      </c>
      <c r="E68" s="64">
        <v>0.83410909090909091</v>
      </c>
      <c r="F68" s="9">
        <v>0</v>
      </c>
      <c r="G68" s="12"/>
      <c r="H68" s="12"/>
      <c r="I68" s="12"/>
      <c r="J68" s="12"/>
      <c r="K68" s="13"/>
      <c r="L68" s="13"/>
      <c r="M68" s="12"/>
      <c r="N68" s="12"/>
      <c r="P68" s="12"/>
      <c r="Q68" s="12"/>
      <c r="R68" s="12"/>
      <c r="S68" s="12"/>
      <c r="T68" s="12"/>
      <c r="U68" s="13"/>
      <c r="V68" s="13"/>
      <c r="W68" s="12"/>
      <c r="X68" s="12"/>
      <c r="Y68" s="12"/>
      <c r="Z68" s="12"/>
      <c r="AA68" s="12"/>
      <c r="AB68" s="12"/>
    </row>
    <row r="69" spans="1:28" x14ac:dyDescent="0.3">
      <c r="A69" s="14"/>
      <c r="B69" s="36"/>
      <c r="C69" s="37"/>
      <c r="D69" s="34">
        <v>0.54166666666666663</v>
      </c>
      <c r="E69" s="64">
        <v>0.83294545454545466</v>
      </c>
      <c r="F69" s="9">
        <v>0</v>
      </c>
      <c r="G69" s="12"/>
      <c r="H69" s="12"/>
      <c r="I69" s="12"/>
      <c r="J69" s="12"/>
      <c r="K69" s="13"/>
      <c r="L69" s="13"/>
      <c r="M69" s="12"/>
      <c r="N69" s="12"/>
      <c r="P69" s="12"/>
      <c r="Q69" s="12"/>
      <c r="R69" s="12"/>
      <c r="S69" s="12"/>
      <c r="T69" s="12"/>
      <c r="U69" s="13"/>
      <c r="V69" s="13"/>
      <c r="W69" s="12"/>
      <c r="X69" s="12"/>
      <c r="Y69" s="12"/>
      <c r="Z69" s="12"/>
      <c r="AA69" s="12"/>
      <c r="AB69" s="12"/>
    </row>
    <row r="70" spans="1:28" x14ac:dyDescent="0.3">
      <c r="A70" s="14"/>
      <c r="B70" s="36"/>
      <c r="C70" s="37"/>
      <c r="D70" s="34">
        <v>0.58333333333333337</v>
      </c>
      <c r="E70" s="64">
        <v>0.76298181818181821</v>
      </c>
      <c r="F70" s="9">
        <v>0</v>
      </c>
      <c r="G70" s="12"/>
      <c r="H70" s="12"/>
      <c r="I70" s="12"/>
      <c r="J70" s="12"/>
      <c r="K70" s="13"/>
      <c r="L70" s="13"/>
      <c r="M70" s="12"/>
      <c r="N70" s="12"/>
      <c r="P70" s="12"/>
      <c r="Q70" s="12"/>
      <c r="R70" s="12"/>
      <c r="S70" s="12"/>
      <c r="T70" s="12"/>
      <c r="U70" s="13"/>
      <c r="V70" s="13"/>
      <c r="W70" s="12"/>
      <c r="X70" s="12"/>
      <c r="Y70" s="12"/>
      <c r="Z70" s="12"/>
      <c r="AA70" s="12"/>
      <c r="AB70" s="12"/>
    </row>
    <row r="71" spans="1:28" x14ac:dyDescent="0.3">
      <c r="A71" s="14"/>
      <c r="B71" s="36"/>
      <c r="C71" s="37"/>
      <c r="D71" s="34">
        <v>0.625</v>
      </c>
      <c r="E71" s="64">
        <v>0.59047272727272737</v>
      </c>
      <c r="F71" s="9">
        <v>0</v>
      </c>
      <c r="G71" s="12"/>
      <c r="H71" s="12"/>
      <c r="I71" s="12"/>
      <c r="J71" s="12"/>
      <c r="K71" s="13"/>
      <c r="L71" s="13"/>
      <c r="M71" s="12"/>
      <c r="N71" s="12"/>
      <c r="P71" s="12"/>
      <c r="Q71" s="12"/>
      <c r="R71" s="12"/>
      <c r="S71" s="12"/>
      <c r="T71" s="12"/>
      <c r="U71" s="13"/>
      <c r="V71" s="13"/>
      <c r="W71" s="12"/>
      <c r="X71" s="12"/>
      <c r="Y71" s="12"/>
      <c r="Z71" s="12"/>
      <c r="AA71" s="12"/>
      <c r="AB71" s="12"/>
    </row>
    <row r="72" spans="1:28" x14ac:dyDescent="0.3">
      <c r="A72" s="14"/>
      <c r="B72" s="36"/>
      <c r="C72" s="37"/>
      <c r="D72" s="34">
        <v>0.66666666666666663</v>
      </c>
      <c r="E72" s="64">
        <v>0.28574545454545452</v>
      </c>
      <c r="F72" s="9">
        <v>0</v>
      </c>
      <c r="G72" s="12"/>
      <c r="H72" s="12"/>
      <c r="I72" s="12"/>
      <c r="J72" s="12"/>
      <c r="K72" s="13"/>
      <c r="L72" s="13"/>
      <c r="M72" s="12"/>
      <c r="N72" s="12"/>
      <c r="P72" s="12"/>
      <c r="Q72" s="12"/>
      <c r="R72" s="12"/>
      <c r="S72" s="12"/>
      <c r="T72" s="12"/>
      <c r="U72" s="13"/>
      <c r="V72" s="13"/>
      <c r="W72" s="12"/>
      <c r="X72" s="12"/>
      <c r="Y72" s="12"/>
      <c r="Z72" s="12"/>
      <c r="AA72" s="12"/>
      <c r="AB72" s="12"/>
    </row>
    <row r="73" spans="1:28" x14ac:dyDescent="0.3">
      <c r="A73" s="14"/>
      <c r="B73" s="36"/>
      <c r="C73" s="37"/>
      <c r="D73" s="34">
        <v>0.70833333333333337</v>
      </c>
      <c r="E73" s="64">
        <v>0.21658181818181818</v>
      </c>
      <c r="F73" s="9">
        <v>0</v>
      </c>
      <c r="G73" s="12"/>
      <c r="H73" s="12"/>
      <c r="I73" s="12"/>
      <c r="J73" s="12"/>
      <c r="K73" s="13"/>
      <c r="L73" s="13"/>
      <c r="M73" s="12"/>
      <c r="N73" s="12"/>
      <c r="P73" s="12"/>
      <c r="Q73" s="12"/>
      <c r="R73" s="12"/>
      <c r="S73" s="12"/>
      <c r="T73" s="12"/>
      <c r="U73" s="13"/>
      <c r="V73" s="13"/>
      <c r="W73" s="12"/>
      <c r="X73" s="12"/>
      <c r="Y73" s="12"/>
      <c r="Z73" s="12"/>
      <c r="AA73" s="12"/>
      <c r="AB73" s="12"/>
    </row>
    <row r="74" spans="1:28" x14ac:dyDescent="0.3">
      <c r="A74" s="14"/>
      <c r="B74" s="36"/>
      <c r="C74" s="37"/>
      <c r="D74" s="34">
        <v>0.75</v>
      </c>
      <c r="E74" s="64">
        <v>6.6763636363636358E-2</v>
      </c>
      <c r="F74" s="9">
        <v>0</v>
      </c>
      <c r="G74" s="12"/>
      <c r="H74" s="12"/>
      <c r="I74" s="12"/>
      <c r="J74" s="12"/>
      <c r="K74" s="13"/>
      <c r="L74" s="13"/>
      <c r="M74" s="12"/>
      <c r="N74" s="12"/>
      <c r="P74" s="12"/>
      <c r="Q74" s="12"/>
      <c r="R74" s="12"/>
      <c r="S74" s="12"/>
      <c r="T74" s="12"/>
      <c r="U74" s="13"/>
      <c r="V74" s="13"/>
      <c r="W74" s="12"/>
      <c r="X74" s="12"/>
      <c r="Y74" s="12"/>
      <c r="Z74" s="12"/>
      <c r="AA74" s="12"/>
      <c r="AB74" s="12"/>
    </row>
    <row r="75" spans="1:28" x14ac:dyDescent="0.3">
      <c r="A75" s="14"/>
      <c r="B75" s="36"/>
      <c r="C75" s="37"/>
      <c r="D75" s="34">
        <v>0.79166666666666663</v>
      </c>
      <c r="E75" s="64">
        <v>0</v>
      </c>
      <c r="F75" s="9">
        <v>0</v>
      </c>
      <c r="G75" s="12"/>
      <c r="H75" s="12"/>
      <c r="I75" s="12"/>
      <c r="J75" s="12"/>
      <c r="K75" s="13"/>
      <c r="L75" s="13"/>
      <c r="M75" s="12"/>
      <c r="N75" s="12"/>
      <c r="P75" s="12"/>
      <c r="Q75" s="12"/>
      <c r="R75" s="12"/>
      <c r="S75" s="12"/>
      <c r="T75" s="12"/>
      <c r="U75" s="13"/>
      <c r="V75" s="13"/>
      <c r="W75" s="12"/>
      <c r="X75" s="12"/>
      <c r="Y75" s="12"/>
      <c r="Z75" s="12"/>
      <c r="AA75" s="12"/>
      <c r="AB75" s="12"/>
    </row>
    <row r="76" spans="1:28" x14ac:dyDescent="0.3">
      <c r="A76" s="14"/>
      <c r="B76" s="36"/>
      <c r="C76" s="37"/>
      <c r="D76" s="34">
        <v>0.83333333333333337</v>
      </c>
      <c r="E76" s="64">
        <v>0</v>
      </c>
      <c r="F76" s="9">
        <v>0</v>
      </c>
      <c r="G76" s="12"/>
      <c r="H76" s="12"/>
      <c r="I76" s="12"/>
      <c r="J76" s="12"/>
      <c r="K76" s="13"/>
      <c r="L76" s="13"/>
      <c r="M76" s="12"/>
      <c r="N76" s="12"/>
      <c r="P76" s="12"/>
      <c r="Q76" s="12"/>
      <c r="R76" s="12"/>
      <c r="S76" s="12"/>
      <c r="T76" s="12"/>
      <c r="U76" s="13"/>
      <c r="V76" s="13"/>
      <c r="W76" s="12"/>
      <c r="X76" s="12"/>
      <c r="Y76" s="12"/>
      <c r="Z76" s="12"/>
      <c r="AA76" s="12"/>
      <c r="AB76" s="12"/>
    </row>
    <row r="77" spans="1:28" x14ac:dyDescent="0.3">
      <c r="A77" s="14"/>
      <c r="B77" s="36"/>
      <c r="C77" s="37"/>
      <c r="D77" s="34">
        <v>0.875</v>
      </c>
      <c r="E77" s="64">
        <v>0</v>
      </c>
      <c r="F77" s="9">
        <v>0</v>
      </c>
      <c r="G77" s="12"/>
      <c r="H77" s="12"/>
      <c r="I77" s="12"/>
      <c r="J77" s="12"/>
      <c r="K77" s="13"/>
      <c r="L77" s="13"/>
      <c r="M77" s="12"/>
      <c r="N77" s="12"/>
      <c r="P77" s="12"/>
      <c r="Q77" s="12"/>
      <c r="R77" s="12"/>
      <c r="S77" s="12"/>
      <c r="T77" s="12"/>
      <c r="U77" s="13"/>
      <c r="V77" s="13"/>
      <c r="W77" s="12"/>
      <c r="X77" s="12"/>
      <c r="Y77" s="12"/>
      <c r="Z77" s="12"/>
      <c r="AA77" s="12"/>
      <c r="AB77" s="12"/>
    </row>
    <row r="78" spans="1:28" x14ac:dyDescent="0.3">
      <c r="A78" s="14"/>
      <c r="B78" s="36"/>
      <c r="C78" s="37"/>
      <c r="D78" s="34">
        <v>0.91666666666666663</v>
      </c>
      <c r="E78" s="64">
        <v>0</v>
      </c>
      <c r="F78" s="9">
        <v>0</v>
      </c>
      <c r="G78" s="12"/>
      <c r="H78" s="12"/>
      <c r="I78" s="12"/>
      <c r="J78" s="12"/>
      <c r="K78" s="13"/>
      <c r="L78" s="13"/>
      <c r="M78" s="12"/>
      <c r="N78" s="12"/>
      <c r="P78" s="12"/>
      <c r="Q78" s="12"/>
      <c r="R78" s="12"/>
      <c r="S78" s="12"/>
      <c r="T78" s="12"/>
      <c r="U78" s="13"/>
      <c r="V78" s="13"/>
      <c r="W78" s="12"/>
      <c r="X78" s="12"/>
      <c r="Y78" s="12"/>
      <c r="Z78" s="12"/>
      <c r="AA78" s="12"/>
      <c r="AB78" s="12"/>
    </row>
    <row r="79" spans="1:28" x14ac:dyDescent="0.3">
      <c r="A79" s="14"/>
      <c r="B79" s="36"/>
      <c r="C79" s="37"/>
      <c r="D79" s="34">
        <v>0.95833333333333337</v>
      </c>
      <c r="E79" s="64">
        <v>0</v>
      </c>
      <c r="F79" s="9">
        <v>0</v>
      </c>
      <c r="G79" s="12"/>
      <c r="H79" s="12"/>
      <c r="I79" s="12"/>
      <c r="J79" s="12"/>
      <c r="K79" s="13"/>
      <c r="L79" s="13"/>
      <c r="M79" s="12"/>
      <c r="N79" s="12"/>
      <c r="P79" s="12"/>
      <c r="Q79" s="12"/>
      <c r="R79" s="12"/>
      <c r="S79" s="12"/>
      <c r="T79" s="12"/>
      <c r="U79" s="13"/>
      <c r="V79" s="13"/>
      <c r="W79" s="12"/>
      <c r="X79" s="12"/>
      <c r="Y79" s="12"/>
      <c r="Z79" s="12"/>
      <c r="AA79" s="12"/>
      <c r="AB79" s="12"/>
    </row>
    <row r="80" spans="1:28" x14ac:dyDescent="0.3">
      <c r="A80" s="14"/>
      <c r="B80" s="36"/>
      <c r="C80" s="36"/>
      <c r="D80" s="14"/>
      <c r="E80" s="12"/>
      <c r="K80" s="1"/>
      <c r="L80" s="1"/>
      <c r="U80" s="1"/>
      <c r="V80" s="1"/>
    </row>
    <row r="81" spans="1:22" ht="17.649999999999999" x14ac:dyDescent="0.3">
      <c r="A81" s="8" t="s">
        <v>329</v>
      </c>
      <c r="B81" s="8" t="s">
        <v>152</v>
      </c>
      <c r="C81" s="8" t="s">
        <v>153</v>
      </c>
      <c r="D81" s="8" t="s">
        <v>3</v>
      </c>
      <c r="E81" s="8" t="s">
        <v>338</v>
      </c>
      <c r="K81" s="1"/>
      <c r="L81" s="1"/>
      <c r="Q81" s="5"/>
      <c r="R81" s="5"/>
      <c r="U81" s="1"/>
      <c r="V81" s="1"/>
    </row>
    <row r="82" spans="1:22" x14ac:dyDescent="0.3">
      <c r="A82" s="35" t="s">
        <v>330</v>
      </c>
      <c r="B82" s="36">
        <v>24</v>
      </c>
      <c r="C82" s="37">
        <v>1</v>
      </c>
      <c r="D82" s="34">
        <v>0</v>
      </c>
      <c r="E82" s="64">
        <v>0</v>
      </c>
      <c r="J82" s="5"/>
      <c r="L82" s="1"/>
      <c r="T82" s="5"/>
      <c r="V82" s="1"/>
    </row>
    <row r="83" spans="1:22" x14ac:dyDescent="0.3">
      <c r="A83" s="14"/>
      <c r="B83" s="36"/>
      <c r="C83" s="37"/>
      <c r="D83" s="34">
        <v>4.1666666666666664E-2</v>
      </c>
      <c r="E83" s="64">
        <v>0</v>
      </c>
      <c r="J83" s="5"/>
      <c r="L83" s="1"/>
      <c r="T83" s="5"/>
      <c r="V83" s="1"/>
    </row>
    <row r="84" spans="1:22" x14ac:dyDescent="0.3">
      <c r="A84" s="14"/>
      <c r="B84" s="36"/>
      <c r="C84" s="37"/>
      <c r="D84" s="34">
        <v>8.3333333333333329E-2</v>
      </c>
      <c r="E84" s="64">
        <v>0</v>
      </c>
      <c r="J84" s="5"/>
      <c r="L84" s="1"/>
      <c r="T84" s="5"/>
      <c r="V84" s="1"/>
    </row>
    <row r="85" spans="1:22" x14ac:dyDescent="0.3">
      <c r="A85" s="14"/>
      <c r="B85" s="36"/>
      <c r="C85" s="37"/>
      <c r="D85" s="34">
        <v>0.125</v>
      </c>
      <c r="E85" s="64">
        <v>0</v>
      </c>
      <c r="J85" s="5"/>
      <c r="L85" s="1"/>
      <c r="T85" s="5"/>
      <c r="V85" s="1"/>
    </row>
    <row r="86" spans="1:22" x14ac:dyDescent="0.3">
      <c r="A86" s="14"/>
      <c r="B86" s="36"/>
      <c r="C86" s="37"/>
      <c r="D86" s="34">
        <v>0.16666666666666666</v>
      </c>
      <c r="E86" s="64">
        <v>0</v>
      </c>
      <c r="J86" s="5"/>
      <c r="L86" s="1"/>
      <c r="T86" s="5"/>
      <c r="V86" s="1"/>
    </row>
    <row r="87" spans="1:22" x14ac:dyDescent="0.3">
      <c r="A87" s="14"/>
      <c r="B87" s="36"/>
      <c r="C87" s="37"/>
      <c r="D87" s="34">
        <v>0.20833333333333334</v>
      </c>
      <c r="E87" s="64">
        <v>0</v>
      </c>
      <c r="J87" s="5"/>
      <c r="L87" s="1"/>
      <c r="T87" s="5"/>
      <c r="V87" s="1"/>
    </row>
    <row r="88" spans="1:22" x14ac:dyDescent="0.3">
      <c r="A88" s="14"/>
      <c r="B88" s="36"/>
      <c r="C88" s="37"/>
      <c r="D88" s="34">
        <v>0.25</v>
      </c>
      <c r="E88" s="64">
        <v>0.1</v>
      </c>
      <c r="J88" s="5"/>
      <c r="L88" s="1"/>
      <c r="T88" s="5"/>
      <c r="V88" s="1"/>
    </row>
    <row r="89" spans="1:22" x14ac:dyDescent="0.3">
      <c r="A89" s="14"/>
      <c r="B89" s="36"/>
      <c r="C89" s="37"/>
      <c r="D89" s="34">
        <v>0.29166666666666669</v>
      </c>
      <c r="E89" s="64">
        <v>0.2</v>
      </c>
      <c r="J89" s="5"/>
      <c r="L89" s="1"/>
      <c r="T89" s="5"/>
      <c r="V89" s="1"/>
    </row>
    <row r="90" spans="1:22" x14ac:dyDescent="0.3">
      <c r="A90" s="14"/>
      <c r="B90" s="36"/>
      <c r="C90" s="37"/>
      <c r="D90" s="34">
        <v>0.33333333333333331</v>
      </c>
      <c r="E90" s="64">
        <v>0.3</v>
      </c>
      <c r="J90" s="5"/>
      <c r="L90" s="1"/>
      <c r="T90" s="5"/>
      <c r="V90" s="1"/>
    </row>
    <row r="91" spans="1:22" x14ac:dyDescent="0.3">
      <c r="A91" s="14"/>
      <c r="B91" s="36"/>
      <c r="C91" s="37"/>
      <c r="D91" s="34">
        <v>0.375</v>
      </c>
      <c r="E91" s="64">
        <v>0.5</v>
      </c>
      <c r="J91" s="5"/>
      <c r="L91" s="1"/>
      <c r="T91" s="5"/>
      <c r="V91" s="1"/>
    </row>
    <row r="92" spans="1:22" x14ac:dyDescent="0.3">
      <c r="A92" s="14"/>
      <c r="B92" s="36"/>
      <c r="C92" s="37"/>
      <c r="D92" s="34">
        <v>0.41666666666666669</v>
      </c>
      <c r="E92" s="64">
        <v>0.8</v>
      </c>
      <c r="J92" s="5"/>
      <c r="L92" s="1"/>
      <c r="T92" s="5"/>
      <c r="V92" s="1"/>
    </row>
    <row r="93" spans="1:22" x14ac:dyDescent="0.3">
      <c r="A93" s="14"/>
      <c r="B93" s="36"/>
      <c r="C93" s="37"/>
      <c r="D93" s="34">
        <v>0.45833333333333331</v>
      </c>
      <c r="E93" s="64">
        <v>0.9</v>
      </c>
      <c r="J93" s="5"/>
      <c r="L93" s="1"/>
      <c r="T93" s="5"/>
      <c r="V93" s="1"/>
    </row>
    <row r="94" spans="1:22" x14ac:dyDescent="0.3">
      <c r="A94" s="14"/>
      <c r="B94" s="36"/>
      <c r="C94" s="37"/>
      <c r="D94" s="34">
        <v>0.5</v>
      </c>
      <c r="E94" s="64">
        <v>1</v>
      </c>
      <c r="J94" s="5"/>
      <c r="L94" s="1"/>
      <c r="T94" s="5"/>
      <c r="V94" s="1"/>
    </row>
    <row r="95" spans="1:22" x14ac:dyDescent="0.3">
      <c r="A95" s="14"/>
      <c r="B95" s="36"/>
      <c r="C95" s="37"/>
      <c r="D95" s="34">
        <v>0.54166666666666663</v>
      </c>
      <c r="E95" s="64">
        <v>1</v>
      </c>
      <c r="J95" s="5"/>
      <c r="L95" s="1"/>
      <c r="T95" s="5"/>
      <c r="V95" s="1"/>
    </row>
    <row r="96" spans="1:22" x14ac:dyDescent="0.3">
      <c r="A96" s="14"/>
      <c r="B96" s="36"/>
      <c r="C96" s="37"/>
      <c r="D96" s="34">
        <v>0.58333333333333337</v>
      </c>
      <c r="E96" s="64">
        <v>0.99</v>
      </c>
      <c r="J96" s="5"/>
      <c r="L96" s="1"/>
      <c r="T96" s="5"/>
      <c r="V96" s="1"/>
    </row>
    <row r="97" spans="1:22" x14ac:dyDescent="0.3">
      <c r="A97" s="14"/>
      <c r="B97" s="36"/>
      <c r="C97" s="37"/>
      <c r="D97" s="34">
        <v>0.625</v>
      </c>
      <c r="E97" s="64">
        <v>0.9</v>
      </c>
      <c r="J97" s="5"/>
      <c r="L97" s="1"/>
      <c r="T97" s="5"/>
      <c r="V97" s="1"/>
    </row>
    <row r="98" spans="1:22" x14ac:dyDescent="0.3">
      <c r="A98" s="14"/>
      <c r="B98" s="36"/>
      <c r="C98" s="37"/>
      <c r="D98" s="34">
        <v>0.66666666666666663</v>
      </c>
      <c r="E98" s="64">
        <v>0.7</v>
      </c>
      <c r="J98" s="5"/>
      <c r="L98" s="1"/>
      <c r="T98" s="5"/>
      <c r="V98" s="1"/>
    </row>
    <row r="99" spans="1:22" x14ac:dyDescent="0.3">
      <c r="A99" s="14"/>
      <c r="B99" s="36"/>
      <c r="C99" s="37"/>
      <c r="D99" s="34">
        <v>0.70833333333333337</v>
      </c>
      <c r="E99" s="64">
        <v>0.4</v>
      </c>
      <c r="J99" s="5"/>
      <c r="L99" s="1"/>
      <c r="T99" s="5"/>
      <c r="V99" s="1"/>
    </row>
    <row r="100" spans="1:22" x14ac:dyDescent="0.3">
      <c r="A100" s="14"/>
      <c r="B100" s="36"/>
      <c r="C100" s="37"/>
      <c r="D100" s="34">
        <v>0.75</v>
      </c>
      <c r="E100" s="64">
        <v>0.1</v>
      </c>
      <c r="J100" s="5"/>
      <c r="L100" s="1"/>
      <c r="T100" s="5"/>
      <c r="V100" s="1"/>
    </row>
    <row r="101" spans="1:22" x14ac:dyDescent="0.3">
      <c r="A101" s="14"/>
      <c r="B101" s="36"/>
      <c r="C101" s="37"/>
      <c r="D101" s="34">
        <v>0.79166666666666663</v>
      </c>
      <c r="E101" s="64">
        <v>0</v>
      </c>
      <c r="J101" s="5"/>
      <c r="L101" s="1"/>
      <c r="T101" s="5"/>
      <c r="V101" s="1"/>
    </row>
    <row r="102" spans="1:22" x14ac:dyDescent="0.3">
      <c r="A102" s="14"/>
      <c r="B102" s="36"/>
      <c r="C102" s="37"/>
      <c r="D102" s="34">
        <v>0.83333333333333337</v>
      </c>
      <c r="E102" s="64">
        <v>0</v>
      </c>
      <c r="J102" s="5"/>
      <c r="L102" s="1"/>
      <c r="T102" s="5"/>
      <c r="V102" s="1"/>
    </row>
    <row r="103" spans="1:22" x14ac:dyDescent="0.3">
      <c r="A103" s="14"/>
      <c r="B103" s="36"/>
      <c r="C103" s="37"/>
      <c r="D103" s="34">
        <v>0.875</v>
      </c>
      <c r="E103" s="64">
        <v>0</v>
      </c>
      <c r="J103" s="5"/>
      <c r="L103" s="1"/>
      <c r="T103" s="5"/>
      <c r="V103" s="1"/>
    </row>
    <row r="104" spans="1:22" x14ac:dyDescent="0.3">
      <c r="A104" s="14"/>
      <c r="B104" s="36"/>
      <c r="C104" s="37"/>
      <c r="D104" s="34">
        <v>0.91666666666666663</v>
      </c>
      <c r="E104" s="64">
        <v>0</v>
      </c>
      <c r="J104" s="5"/>
      <c r="L104" s="1"/>
      <c r="T104" s="5"/>
      <c r="V104" s="1"/>
    </row>
    <row r="105" spans="1:22" x14ac:dyDescent="0.3">
      <c r="A105" s="14"/>
      <c r="B105" s="36"/>
      <c r="C105" s="37"/>
      <c r="D105" s="34">
        <v>0.95833333333333337</v>
      </c>
      <c r="E105" s="64">
        <v>0</v>
      </c>
      <c r="J105" s="5"/>
      <c r="L105" s="1"/>
      <c r="T105" s="5"/>
      <c r="V105" s="1"/>
    </row>
  </sheetData>
  <phoneticPr fontId="3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6B304-3110-4AD2-BCD9-F22CF9C15932}">
  <sheetPr codeName="Sheet9"/>
  <dimension ref="A1:D43"/>
  <sheetViews>
    <sheetView workbookViewId="0">
      <selection activeCell="D1" sqref="D1"/>
    </sheetView>
  </sheetViews>
  <sheetFormatPr defaultColWidth="8.86328125" defaultRowHeight="13.5" x14ac:dyDescent="0.3"/>
  <cols>
    <col min="1" max="1" width="13.86328125" style="1" customWidth="1"/>
    <col min="2" max="16384" width="8.86328125" style="1"/>
  </cols>
  <sheetData>
    <row r="1" spans="1:4" x14ac:dyDescent="0.3">
      <c r="A1" s="21" t="s">
        <v>318</v>
      </c>
      <c r="B1" s="21" t="s">
        <v>154</v>
      </c>
      <c r="C1" s="22" t="s">
        <v>319</v>
      </c>
      <c r="D1" s="22" t="s">
        <v>322</v>
      </c>
    </row>
    <row r="2" spans="1:4" x14ac:dyDescent="0.3">
      <c r="A2" s="1" t="s">
        <v>323</v>
      </c>
      <c r="B2" s="1">
        <v>4</v>
      </c>
      <c r="C2" s="1">
        <v>0</v>
      </c>
      <c r="D2" s="1">
        <v>1.2</v>
      </c>
    </row>
    <row r="3" spans="1:4" x14ac:dyDescent="0.3">
      <c r="C3" s="1">
        <v>25</v>
      </c>
      <c r="D3" s="1">
        <v>1</v>
      </c>
    </row>
    <row r="4" spans="1:4" x14ac:dyDescent="0.3">
      <c r="C4" s="1">
        <v>75</v>
      </c>
      <c r="D4" s="1">
        <v>0.8</v>
      </c>
    </row>
    <row r="5" spans="1:4" x14ac:dyDescent="0.3">
      <c r="C5" s="1">
        <v>100</v>
      </c>
      <c r="D5" s="1">
        <v>0.6</v>
      </c>
    </row>
    <row r="7" spans="1:4" x14ac:dyDescent="0.3">
      <c r="A7" s="21" t="s">
        <v>318</v>
      </c>
      <c r="B7" s="21" t="s">
        <v>154</v>
      </c>
      <c r="C7" s="22" t="s">
        <v>319</v>
      </c>
      <c r="D7" s="22" t="s">
        <v>322</v>
      </c>
    </row>
    <row r="8" spans="1:4" x14ac:dyDescent="0.3">
      <c r="A8" s="1" t="s">
        <v>324</v>
      </c>
      <c r="B8" s="1">
        <v>4</v>
      </c>
      <c r="C8" s="1">
        <v>0.1</v>
      </c>
      <c r="D8" s="1">
        <v>0.86</v>
      </c>
    </row>
    <row r="9" spans="1:4" x14ac:dyDescent="0.3">
      <c r="C9" s="1">
        <v>0.2</v>
      </c>
      <c r="D9" s="1">
        <v>0.9</v>
      </c>
    </row>
    <row r="10" spans="1:4" x14ac:dyDescent="0.3">
      <c r="C10" s="1">
        <v>0.4</v>
      </c>
      <c r="D10" s="1">
        <v>0.93</v>
      </c>
    </row>
    <row r="11" spans="1:4" x14ac:dyDescent="0.3">
      <c r="C11" s="1">
        <v>1</v>
      </c>
      <c r="D11" s="1">
        <v>0.97</v>
      </c>
    </row>
    <row r="13" spans="1:4" x14ac:dyDescent="0.3">
      <c r="A13" s="21" t="s">
        <v>328</v>
      </c>
      <c r="B13" s="21" t="s">
        <v>154</v>
      </c>
      <c r="C13" s="22" t="s">
        <v>3</v>
      </c>
      <c r="D13" s="22" t="s">
        <v>331</v>
      </c>
    </row>
    <row r="14" spans="1:4" x14ac:dyDescent="0.3">
      <c r="A14" s="1" t="s">
        <v>336</v>
      </c>
      <c r="B14" s="1">
        <v>24</v>
      </c>
      <c r="C14" s="14">
        <v>0</v>
      </c>
      <c r="D14" s="1">
        <v>25</v>
      </c>
    </row>
    <row r="15" spans="1:4" x14ac:dyDescent="0.3">
      <c r="C15" s="14">
        <v>4.1666666666666664E-2</v>
      </c>
      <c r="D15" s="1">
        <v>25</v>
      </c>
    </row>
    <row r="16" spans="1:4" x14ac:dyDescent="0.3">
      <c r="C16" s="14">
        <v>8.3333333333333329E-2</v>
      </c>
      <c r="D16" s="1">
        <v>25</v>
      </c>
    </row>
    <row r="17" spans="3:4" x14ac:dyDescent="0.3">
      <c r="C17" s="14">
        <v>0.125</v>
      </c>
      <c r="D17" s="1">
        <v>25</v>
      </c>
    </row>
    <row r="18" spans="3:4" x14ac:dyDescent="0.3">
      <c r="C18" s="14">
        <v>0.16666666666666666</v>
      </c>
      <c r="D18" s="1">
        <v>25</v>
      </c>
    </row>
    <row r="19" spans="3:4" x14ac:dyDescent="0.3">
      <c r="C19" s="14">
        <v>0.20833333333333334</v>
      </c>
      <c r="D19" s="1">
        <v>25</v>
      </c>
    </row>
    <row r="20" spans="3:4" x14ac:dyDescent="0.3">
      <c r="C20" s="14">
        <v>0.25</v>
      </c>
      <c r="D20" s="1">
        <v>25</v>
      </c>
    </row>
    <row r="21" spans="3:4" x14ac:dyDescent="0.3">
      <c r="C21" s="14">
        <v>0.29166666666666669</v>
      </c>
      <c r="D21" s="1">
        <v>25</v>
      </c>
    </row>
    <row r="22" spans="3:4" x14ac:dyDescent="0.3">
      <c r="C22" s="14">
        <v>0.33333333333333331</v>
      </c>
      <c r="D22" s="1">
        <v>35</v>
      </c>
    </row>
    <row r="23" spans="3:4" x14ac:dyDescent="0.3">
      <c r="C23" s="14">
        <v>0.375</v>
      </c>
      <c r="D23" s="1">
        <v>40</v>
      </c>
    </row>
    <row r="24" spans="3:4" x14ac:dyDescent="0.3">
      <c r="C24" s="14">
        <v>0.41666666666666669</v>
      </c>
      <c r="D24" s="1">
        <v>45</v>
      </c>
    </row>
    <row r="25" spans="3:4" x14ac:dyDescent="0.3">
      <c r="C25" s="14">
        <v>0.45833333333333331</v>
      </c>
      <c r="D25" s="1">
        <v>50</v>
      </c>
    </row>
    <row r="26" spans="3:4" x14ac:dyDescent="0.3">
      <c r="C26" s="14">
        <v>0.5</v>
      </c>
      <c r="D26" s="1">
        <v>60</v>
      </c>
    </row>
    <row r="27" spans="3:4" x14ac:dyDescent="0.3">
      <c r="C27" s="14">
        <v>0.54166666666666663</v>
      </c>
      <c r="D27" s="1">
        <v>60</v>
      </c>
    </row>
    <row r="28" spans="3:4" x14ac:dyDescent="0.3">
      <c r="C28" s="14">
        <v>0.58333333333333337</v>
      </c>
      <c r="D28" s="1">
        <v>55</v>
      </c>
    </row>
    <row r="29" spans="3:4" x14ac:dyDescent="0.3">
      <c r="C29" s="14">
        <v>0.625</v>
      </c>
      <c r="D29" s="1">
        <v>40</v>
      </c>
    </row>
    <row r="30" spans="3:4" x14ac:dyDescent="0.3">
      <c r="C30" s="14">
        <v>0.66666666666666663</v>
      </c>
      <c r="D30" s="1">
        <v>35</v>
      </c>
    </row>
    <row r="31" spans="3:4" x14ac:dyDescent="0.3">
      <c r="C31" s="14">
        <v>0.70833333333333337</v>
      </c>
      <c r="D31" s="1">
        <v>30</v>
      </c>
    </row>
    <row r="32" spans="3:4" x14ac:dyDescent="0.3">
      <c r="C32" s="14">
        <v>0.75</v>
      </c>
      <c r="D32" s="1">
        <v>25</v>
      </c>
    </row>
    <row r="33" spans="1:4" x14ac:dyDescent="0.3">
      <c r="C33" s="14">
        <v>0.79166666666666663</v>
      </c>
      <c r="D33" s="1">
        <v>25</v>
      </c>
    </row>
    <row r="34" spans="1:4" x14ac:dyDescent="0.3">
      <c r="C34" s="14">
        <v>0.83333333333333337</v>
      </c>
      <c r="D34" s="1">
        <v>25</v>
      </c>
    </row>
    <row r="35" spans="1:4" x14ac:dyDescent="0.3">
      <c r="C35" s="14">
        <v>0.875</v>
      </c>
      <c r="D35" s="1">
        <v>25</v>
      </c>
    </row>
    <row r="36" spans="1:4" x14ac:dyDescent="0.3">
      <c r="C36" s="14">
        <v>0.91666666666666663</v>
      </c>
      <c r="D36" s="1">
        <v>25</v>
      </c>
    </row>
    <row r="37" spans="1:4" x14ac:dyDescent="0.3">
      <c r="C37" s="14">
        <v>0.95833333333333337</v>
      </c>
      <c r="D37" s="1">
        <v>25</v>
      </c>
    </row>
    <row r="39" spans="1:4" x14ac:dyDescent="0.3">
      <c r="A39" s="21" t="s">
        <v>318</v>
      </c>
      <c r="B39" s="21" t="s">
        <v>154</v>
      </c>
      <c r="C39" s="22" t="s">
        <v>319</v>
      </c>
      <c r="D39" s="22" t="s">
        <v>322</v>
      </c>
    </row>
    <row r="40" spans="1:4" x14ac:dyDescent="0.3">
      <c r="A40" s="67" t="s">
        <v>390</v>
      </c>
      <c r="B40" s="1">
        <v>4</v>
      </c>
      <c r="C40" s="1">
        <v>0.5</v>
      </c>
      <c r="D40" s="1">
        <v>1</v>
      </c>
    </row>
    <row r="41" spans="1:4" x14ac:dyDescent="0.3">
      <c r="C41" s="1">
        <v>0.95</v>
      </c>
      <c r="D41" s="1">
        <v>1</v>
      </c>
    </row>
    <row r="42" spans="1:4" x14ac:dyDescent="0.3">
      <c r="C42" s="1">
        <v>1.05</v>
      </c>
      <c r="D42" s="1">
        <v>-1</v>
      </c>
    </row>
    <row r="43" spans="1:4" x14ac:dyDescent="0.3">
      <c r="C43" s="1">
        <v>1.5</v>
      </c>
      <c r="D43" s="1">
        <v>-1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76E44-0A19-4AFE-A0DD-553001522118}">
  <sheetPr codeName="Sheet10"/>
  <dimension ref="A1:D2"/>
  <sheetViews>
    <sheetView workbookViewId="0">
      <selection activeCell="A2" sqref="A2:XFD2"/>
    </sheetView>
  </sheetViews>
  <sheetFormatPr defaultRowHeight="13.5" x14ac:dyDescent="0.3"/>
  <cols>
    <col min="1" max="1" width="16.265625" customWidth="1"/>
    <col min="2" max="2" width="16.73046875" customWidth="1"/>
    <col min="3" max="3" width="15.46484375" customWidth="1"/>
    <col min="4" max="4" width="17.3984375" customWidth="1"/>
  </cols>
  <sheetData>
    <row r="1" spans="1:4" x14ac:dyDescent="0.3">
      <c r="A1" s="1" t="s">
        <v>393</v>
      </c>
      <c r="B1" s="22" t="s">
        <v>394</v>
      </c>
      <c r="C1" s="22" t="s">
        <v>395</v>
      </c>
      <c r="D1" s="21" t="s">
        <v>406</v>
      </c>
    </row>
    <row r="2" spans="1:4" x14ac:dyDescent="0.3">
      <c r="A2" t="s">
        <v>422</v>
      </c>
      <c r="B2" t="s">
        <v>423</v>
      </c>
      <c r="C2" t="s">
        <v>424</v>
      </c>
      <c r="D2" s="67" t="s">
        <v>390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00CAE-3FDF-439E-A0A8-7B058A2EDB22}">
  <sheetPr codeName="Sheet8"/>
  <dimension ref="A1:AW59"/>
  <sheetViews>
    <sheetView topLeftCell="A35" workbookViewId="0">
      <selection activeCell="H67" sqref="H67"/>
    </sheetView>
  </sheetViews>
  <sheetFormatPr defaultRowHeight="13.5" x14ac:dyDescent="0.3"/>
  <cols>
    <col min="1" max="1" width="12.86328125" bestFit="1" customWidth="1"/>
    <col min="2" max="2" width="14" bestFit="1" customWidth="1"/>
    <col min="3" max="4" width="11.9296875" bestFit="1" customWidth="1"/>
    <col min="5" max="5" width="14" bestFit="1" customWidth="1"/>
    <col min="6" max="6" width="11.9296875" bestFit="1" customWidth="1"/>
    <col min="7" max="15" width="7.06640625" bestFit="1" customWidth="1"/>
    <col min="16" max="16" width="8.06640625" bestFit="1" customWidth="1"/>
    <col min="17" max="17" width="7.06640625" bestFit="1" customWidth="1"/>
    <col min="18" max="18" width="8.06640625" bestFit="1" customWidth="1"/>
    <col min="19" max="19" width="7.06640625" bestFit="1" customWidth="1"/>
    <col min="20" max="20" width="8.06640625" bestFit="1" customWidth="1"/>
    <col min="21" max="21" width="7.06640625" bestFit="1" customWidth="1"/>
    <col min="22" max="22" width="8.06640625" bestFit="1" customWidth="1"/>
    <col min="23" max="23" width="7.06640625" bestFit="1" customWidth="1"/>
    <col min="24" max="24" width="8.06640625" bestFit="1" customWidth="1"/>
    <col min="25" max="25" width="7.06640625" bestFit="1" customWidth="1"/>
    <col min="26" max="26" width="8.06640625" bestFit="1" customWidth="1"/>
    <col min="27" max="27" width="12.19921875" bestFit="1" customWidth="1"/>
    <col min="28" max="28" width="13.265625" bestFit="1" customWidth="1"/>
    <col min="29" max="29" width="12.19921875" bestFit="1" customWidth="1"/>
    <col min="30" max="30" width="13.265625" bestFit="1" customWidth="1"/>
    <col min="31" max="31" width="12.19921875" bestFit="1" customWidth="1"/>
    <col min="32" max="32" width="13.265625" bestFit="1" customWidth="1"/>
    <col min="33" max="33" width="12.19921875" bestFit="1" customWidth="1"/>
    <col min="34" max="39" width="13.265625" bestFit="1" customWidth="1"/>
    <col min="40" max="49" width="12.19921875" bestFit="1" customWidth="1"/>
  </cols>
  <sheetData>
    <row r="1" spans="1:6" x14ac:dyDescent="0.3">
      <c r="A1" t="s">
        <v>248</v>
      </c>
      <c r="B1" t="s">
        <v>249</v>
      </c>
      <c r="C1" t="s">
        <v>250</v>
      </c>
      <c r="D1" t="s">
        <v>251</v>
      </c>
    </row>
    <row r="2" spans="1:6" s="28" customFormat="1" x14ac:dyDescent="0.3">
      <c r="A2" s="28">
        <v>1129.8420714288532</v>
      </c>
      <c r="B2" s="28">
        <v>6313.0416259102994</v>
      </c>
      <c r="C2" s="28">
        <v>5405.3121467733345</v>
      </c>
      <c r="D2" s="28">
        <v>6535.1542182021876</v>
      </c>
    </row>
    <row r="3" spans="1:6" x14ac:dyDescent="0.3">
      <c r="A3" t="s">
        <v>252</v>
      </c>
      <c r="B3" t="s">
        <v>253</v>
      </c>
      <c r="C3" t="s">
        <v>254</v>
      </c>
      <c r="D3" t="s">
        <v>255</v>
      </c>
      <c r="E3" t="s">
        <v>256</v>
      </c>
    </row>
    <row r="4" spans="1:6" s="28" customFormat="1" x14ac:dyDescent="0.3">
      <c r="A4" s="28">
        <v>222.09266129668936</v>
      </c>
      <c r="B4" s="28">
        <v>191.00389205961773</v>
      </c>
      <c r="C4" s="28">
        <v>31.088769237071688</v>
      </c>
      <c r="D4" s="28">
        <v>135.13081566676846</v>
      </c>
      <c r="E4" s="28">
        <v>86.961845629920916</v>
      </c>
    </row>
    <row r="5" spans="1:6" s="29" customFormat="1" x14ac:dyDescent="0.3">
      <c r="A5" s="29">
        <v>3.3984303029621042E-2</v>
      </c>
      <c r="B5" s="29">
        <v>2.9227143795263436E-2</v>
      </c>
      <c r="C5" s="29">
        <v>4.7571592343576196E-3</v>
      </c>
      <c r="D5" s="29">
        <v>2.0677525143996185E-2</v>
      </c>
      <c r="E5" s="29">
        <v>1.3306777885624864E-2</v>
      </c>
    </row>
    <row r="6" spans="1:6" x14ac:dyDescent="0.3">
      <c r="B6" s="39"/>
      <c r="D6" s="28"/>
    </row>
    <row r="7" spans="1:6" x14ac:dyDescent="0.3">
      <c r="A7" t="s">
        <v>46</v>
      </c>
      <c r="B7" t="s">
        <v>47</v>
      </c>
      <c r="C7" t="s">
        <v>48</v>
      </c>
      <c r="D7" s="28" t="s">
        <v>252</v>
      </c>
    </row>
    <row r="8" spans="1:6" x14ac:dyDescent="0.3">
      <c r="A8" t="s">
        <v>257</v>
      </c>
      <c r="B8" t="s">
        <v>258</v>
      </c>
      <c r="C8" t="s">
        <v>259</v>
      </c>
      <c r="D8" s="28">
        <v>9.7217937621741388</v>
      </c>
    </row>
    <row r="9" spans="1:6" x14ac:dyDescent="0.3">
      <c r="A9" t="s">
        <v>260</v>
      </c>
      <c r="B9" t="s">
        <v>259</v>
      </c>
      <c r="C9" t="s">
        <v>49</v>
      </c>
      <c r="D9" s="28">
        <v>8.1998011648500437</v>
      </c>
    </row>
    <row r="10" spans="1:6" x14ac:dyDescent="0.3">
      <c r="A10" t="s">
        <v>261</v>
      </c>
      <c r="B10" t="s">
        <v>49</v>
      </c>
      <c r="C10" t="s">
        <v>262</v>
      </c>
      <c r="D10" s="28">
        <v>0.31877715662046652</v>
      </c>
    </row>
    <row r="11" spans="1:6" x14ac:dyDescent="0.3">
      <c r="A11" t="s">
        <v>263</v>
      </c>
      <c r="B11" t="s">
        <v>49</v>
      </c>
      <c r="C11" t="s">
        <v>264</v>
      </c>
      <c r="D11" s="28">
        <v>56.649397925694899</v>
      </c>
    </row>
    <row r="12" spans="1:6" x14ac:dyDescent="0.3">
      <c r="A12" t="s">
        <v>265</v>
      </c>
      <c r="B12" t="s">
        <v>264</v>
      </c>
      <c r="C12" t="s">
        <v>266</v>
      </c>
      <c r="D12" s="28">
        <v>60.22927796479955</v>
      </c>
    </row>
    <row r="13" spans="1:6" x14ac:dyDescent="0.3">
      <c r="D13" s="28"/>
    </row>
    <row r="15" spans="1:6" x14ac:dyDescent="0.3">
      <c r="A15" t="s">
        <v>52</v>
      </c>
      <c r="B15" t="s">
        <v>50</v>
      </c>
      <c r="C15" t="s">
        <v>51</v>
      </c>
      <c r="D15" t="s">
        <v>252</v>
      </c>
      <c r="E15" t="s">
        <v>254</v>
      </c>
      <c r="F15" t="s">
        <v>253</v>
      </c>
    </row>
    <row r="16" spans="1:6" x14ac:dyDescent="0.3">
      <c r="A16" t="s">
        <v>267</v>
      </c>
      <c r="B16" t="s">
        <v>259</v>
      </c>
      <c r="C16" t="s">
        <v>267</v>
      </c>
      <c r="D16" s="28">
        <v>10.772587124217639</v>
      </c>
      <c r="E16" s="28">
        <v>4.0611090209197993</v>
      </c>
      <c r="F16" s="28">
        <v>6.7114781032978392</v>
      </c>
    </row>
    <row r="17" spans="1:25" x14ac:dyDescent="0.3">
      <c r="A17" t="s">
        <v>268</v>
      </c>
      <c r="B17" t="s">
        <v>264</v>
      </c>
      <c r="C17" t="s">
        <v>268</v>
      </c>
      <c r="D17" s="28">
        <v>26.45299098640437</v>
      </c>
      <c r="E17" s="28">
        <v>9.5309686008346866</v>
      </c>
      <c r="F17" s="28">
        <v>16.922022385569683</v>
      </c>
    </row>
    <row r="18" spans="1:25" x14ac:dyDescent="0.3">
      <c r="A18" t="s">
        <v>269</v>
      </c>
      <c r="B18" t="s">
        <v>266</v>
      </c>
      <c r="C18" t="s">
        <v>269</v>
      </c>
      <c r="D18" s="28">
        <v>31.291943129444679</v>
      </c>
      <c r="E18" s="28">
        <v>11.465556866611241</v>
      </c>
      <c r="F18" s="28">
        <v>19.826386262833438</v>
      </c>
    </row>
    <row r="19" spans="1:25" x14ac:dyDescent="0.3">
      <c r="A19" t="s">
        <v>270</v>
      </c>
      <c r="B19" t="s">
        <v>262</v>
      </c>
      <c r="C19" t="s">
        <v>270</v>
      </c>
      <c r="D19" s="28">
        <v>18.444355519574813</v>
      </c>
      <c r="E19" s="28">
        <v>6.9195398606974852</v>
      </c>
      <c r="F19" s="28">
        <v>11.524815658877328</v>
      </c>
    </row>
    <row r="20" spans="1:25" x14ac:dyDescent="0.3">
      <c r="A20" t="s">
        <v>271</v>
      </c>
      <c r="D20" s="28">
        <v>86.961876759641498</v>
      </c>
      <c r="E20" s="28">
        <v>31.977174349063212</v>
      </c>
      <c r="F20" s="28">
        <v>54.984702410578286</v>
      </c>
    </row>
    <row r="21" spans="1:25" x14ac:dyDescent="0.3">
      <c r="D21" s="28"/>
      <c r="E21" s="28"/>
      <c r="F21" s="28"/>
    </row>
    <row r="22" spans="1:25" x14ac:dyDescent="0.3">
      <c r="A22" t="s">
        <v>272</v>
      </c>
      <c r="B22" t="s">
        <v>297</v>
      </c>
      <c r="C22" t="s">
        <v>274</v>
      </c>
      <c r="D22" t="s">
        <v>275</v>
      </c>
      <c r="E22" t="s">
        <v>276</v>
      </c>
      <c r="F22" t="s">
        <v>277</v>
      </c>
      <c r="G22" t="s">
        <v>278</v>
      </c>
      <c r="H22" t="s">
        <v>279</v>
      </c>
      <c r="I22" t="s">
        <v>280</v>
      </c>
      <c r="J22" t="s">
        <v>281</v>
      </c>
      <c r="K22" t="s">
        <v>282</v>
      </c>
      <c r="L22" t="s">
        <v>283</v>
      </c>
      <c r="M22" t="s">
        <v>284</v>
      </c>
      <c r="N22" t="s">
        <v>285</v>
      </c>
      <c r="O22" t="s">
        <v>286</v>
      </c>
      <c r="P22" t="s">
        <v>287</v>
      </c>
      <c r="Q22" t="s">
        <v>288</v>
      </c>
      <c r="R22" t="s">
        <v>289</v>
      </c>
      <c r="S22" t="s">
        <v>290</v>
      </c>
      <c r="T22" t="s">
        <v>291</v>
      </c>
      <c r="U22" t="s">
        <v>292</v>
      </c>
      <c r="V22" t="s">
        <v>293</v>
      </c>
      <c r="W22" t="s">
        <v>294</v>
      </c>
      <c r="X22" t="s">
        <v>295</v>
      </c>
      <c r="Y22" t="s">
        <v>296</v>
      </c>
    </row>
    <row r="23" spans="1:25" x14ac:dyDescent="0.3">
      <c r="A23" t="s">
        <v>273</v>
      </c>
      <c r="B23" s="28">
        <v>110.61514145324409</v>
      </c>
      <c r="C23" s="28">
        <v>111.7102828106276</v>
      </c>
      <c r="D23" s="28">
        <v>112.80543122869162</v>
      </c>
      <c r="E23" s="28">
        <v>113.90058049088856</v>
      </c>
      <c r="F23" s="28">
        <v>114.99573057882267</v>
      </c>
      <c r="G23" s="28">
        <v>116.09088148375159</v>
      </c>
      <c r="H23" s="28">
        <v>117.18554756854057</v>
      </c>
      <c r="I23" s="28">
        <v>118.28013106712459</v>
      </c>
      <c r="J23" s="28">
        <v>119.37473740595161</v>
      </c>
      <c r="K23" s="28">
        <v>118.27993314828568</v>
      </c>
      <c r="L23" s="28">
        <v>117.18512324699402</v>
      </c>
      <c r="M23" s="28">
        <v>116.09038012302082</v>
      </c>
      <c r="N23" s="28">
        <v>114.99562848417428</v>
      </c>
      <c r="O23" s="28">
        <v>113.90088508691846</v>
      </c>
      <c r="P23" s="28">
        <v>112.80613594421527</v>
      </c>
      <c r="Q23" s="28">
        <v>111.71142104853909</v>
      </c>
      <c r="R23" s="28">
        <v>110.6169130074971</v>
      </c>
      <c r="S23" s="28">
        <v>111.71196334365398</v>
      </c>
      <c r="T23" s="28">
        <v>112.80695283859066</v>
      </c>
      <c r="U23" s="28">
        <v>113.90078704428504</v>
      </c>
      <c r="V23" s="28">
        <v>114.9960451189768</v>
      </c>
      <c r="W23" s="28">
        <v>116.09119471191423</v>
      </c>
      <c r="X23" s="28">
        <v>117.1863604035826</v>
      </c>
      <c r="Y23" s="28">
        <v>118.28152671687505</v>
      </c>
    </row>
    <row r="24" spans="1:25" x14ac:dyDescent="0.3">
      <c r="A24" t="s">
        <v>258</v>
      </c>
      <c r="B24" s="28">
        <v>10.096774748116122</v>
      </c>
      <c r="C24" s="28">
        <v>10.196489715971648</v>
      </c>
      <c r="D24" s="28">
        <v>10.296235019044072</v>
      </c>
      <c r="E24" s="28">
        <v>10.395983614425624</v>
      </c>
      <c r="F24" s="28">
        <v>10.495735452967203</v>
      </c>
      <c r="G24" s="28">
        <v>10.59549052824031</v>
      </c>
      <c r="H24" s="28">
        <v>10.691533288740425</v>
      </c>
      <c r="I24" s="28">
        <v>10.787012702954726</v>
      </c>
      <c r="J24" s="28">
        <v>10.882708633726784</v>
      </c>
      <c r="K24" s="28">
        <v>10.78432802568031</v>
      </c>
      <c r="L24" s="28">
        <v>10.685461702562719</v>
      </c>
      <c r="M24" s="28">
        <v>10.588024993710238</v>
      </c>
      <c r="N24" s="28">
        <v>10.490654522537858</v>
      </c>
      <c r="O24" s="28">
        <v>10.393606097762611</v>
      </c>
      <c r="P24" s="28">
        <v>10.296461326611519</v>
      </c>
      <c r="Q24" s="28">
        <v>10.199747623655087</v>
      </c>
      <c r="R24" s="28">
        <v>10.105254587055422</v>
      </c>
      <c r="S24" s="28">
        <v>10.205668353873333</v>
      </c>
      <c r="T24" s="28">
        <v>10.305695743746639</v>
      </c>
      <c r="U24" s="28">
        <v>10.396884814700382</v>
      </c>
      <c r="V24" s="28">
        <v>10.497107517262052</v>
      </c>
      <c r="W24" s="28">
        <v>10.596859307998656</v>
      </c>
      <c r="X24" s="28">
        <v>10.696680739195545</v>
      </c>
      <c r="Y24" s="28">
        <v>10.796504692561118</v>
      </c>
    </row>
    <row r="25" spans="1:25" x14ac:dyDescent="0.3">
      <c r="A25" t="s">
        <v>259</v>
      </c>
      <c r="B25" s="28">
        <v>10.087824567649356</v>
      </c>
      <c r="C25" s="28">
        <v>10.186650085248473</v>
      </c>
      <c r="D25" s="28">
        <v>10.285605159270462</v>
      </c>
      <c r="E25" s="28">
        <v>10.384576773030682</v>
      </c>
      <c r="F25" s="28">
        <v>10.483564493832793</v>
      </c>
      <c r="G25" s="28">
        <v>10.58256806305341</v>
      </c>
      <c r="H25" s="28">
        <v>10.677377235126849</v>
      </c>
      <c r="I25" s="28">
        <v>10.771280123776227</v>
      </c>
      <c r="J25" s="28">
        <v>10.86526605911102</v>
      </c>
      <c r="K25" s="28">
        <v>10.772969174471024</v>
      </c>
      <c r="L25" s="28">
        <v>10.681928506295158</v>
      </c>
      <c r="M25" s="28">
        <v>10.588782562754911</v>
      </c>
      <c r="N25" s="28">
        <v>10.495179307064804</v>
      </c>
      <c r="O25" s="28">
        <v>10.400887123026029</v>
      </c>
      <c r="P25" s="28">
        <v>10.30669979386186</v>
      </c>
      <c r="Q25" s="28">
        <v>10.212311413464423</v>
      </c>
      <c r="R25" s="28">
        <v>10.117841992099033</v>
      </c>
      <c r="S25" s="28">
        <v>10.211826112440962</v>
      </c>
      <c r="T25" s="28">
        <v>10.305080253424135</v>
      </c>
      <c r="U25" s="28">
        <v>10.388323435106418</v>
      </c>
      <c r="V25" s="28">
        <v>10.489270825200087</v>
      </c>
      <c r="W25" s="28">
        <v>10.588242929285487</v>
      </c>
      <c r="X25" s="28">
        <v>10.687508931151559</v>
      </c>
      <c r="Y25" s="28">
        <v>10.786786806205473</v>
      </c>
    </row>
    <row r="26" spans="1:25" x14ac:dyDescent="0.3">
      <c r="A26" t="s">
        <v>49</v>
      </c>
      <c r="B26" s="28">
        <v>10.080769233646944</v>
      </c>
      <c r="C26" s="28">
        <v>10.178888065413672</v>
      </c>
      <c r="D26" s="28">
        <v>10.277219110657475</v>
      </c>
      <c r="E26" s="28">
        <v>10.37557713788191</v>
      </c>
      <c r="F26" s="28">
        <v>10.473961406273144</v>
      </c>
      <c r="G26" s="28">
        <v>10.572371460005003</v>
      </c>
      <c r="H26" s="28">
        <v>10.666164645093543</v>
      </c>
      <c r="I26" s="28">
        <v>10.758756239330582</v>
      </c>
      <c r="J26" s="28">
        <v>10.851317866321422</v>
      </c>
      <c r="K26" s="28">
        <v>10.76430555190778</v>
      </c>
      <c r="L26" s="28">
        <v>10.680079829495305</v>
      </c>
      <c r="M26" s="28">
        <v>10.590640675935486</v>
      </c>
      <c r="N26" s="28">
        <v>10.500284048613993</v>
      </c>
      <c r="O26" s="28">
        <v>10.408350169321396</v>
      </c>
      <c r="P26" s="28">
        <v>10.316698131231144</v>
      </c>
      <c r="Q26" s="28">
        <v>10.224290112295716</v>
      </c>
      <c r="R26" s="28">
        <v>10.129782936523462</v>
      </c>
      <c r="S26" s="28">
        <v>10.218080432494261</v>
      </c>
      <c r="T26" s="28">
        <v>10.305350433208746</v>
      </c>
      <c r="U26" s="28">
        <v>10.381571045990533</v>
      </c>
      <c r="V26" s="28">
        <v>10.483090758294793</v>
      </c>
      <c r="W26" s="28">
        <v>10.581447260467314</v>
      </c>
      <c r="X26" s="28">
        <v>10.680274728291046</v>
      </c>
      <c r="Y26" s="28">
        <v>10.779121441796265</v>
      </c>
    </row>
    <row r="27" spans="1:25" x14ac:dyDescent="0.3">
      <c r="A27" t="s">
        <v>262</v>
      </c>
      <c r="B27" s="28">
        <v>10.078557098017011</v>
      </c>
      <c r="C27" s="28">
        <v>10.176472545686361</v>
      </c>
      <c r="D27" s="28">
        <v>10.274611178414995</v>
      </c>
      <c r="E27" s="28">
        <v>10.372780083935831</v>
      </c>
      <c r="F27" s="28">
        <v>10.470978441233962</v>
      </c>
      <c r="G27" s="28">
        <v>10.569205726502712</v>
      </c>
      <c r="H27" s="28">
        <v>10.662817824963609</v>
      </c>
      <c r="I27" s="28">
        <v>10.75523074716002</v>
      </c>
      <c r="J27" s="28">
        <v>10.847616462379408</v>
      </c>
      <c r="K27" s="28">
        <v>10.760729962665462</v>
      </c>
      <c r="L27" s="28">
        <v>10.676632887155371</v>
      </c>
      <c r="M27" s="28">
        <v>10.587322651110966</v>
      </c>
      <c r="N27" s="28">
        <v>10.497096719571593</v>
      </c>
      <c r="O27" s="28">
        <v>10.405295208279222</v>
      </c>
      <c r="P27" s="28">
        <v>10.31377781604334</v>
      </c>
      <c r="Q27" s="28">
        <v>10.221506484580251</v>
      </c>
      <c r="R27" s="28">
        <v>10.127137777390761</v>
      </c>
      <c r="S27" s="28">
        <v>10.215619963268983</v>
      </c>
      <c r="T27" s="28">
        <v>10.303070701135519</v>
      </c>
      <c r="U27" s="28">
        <v>10.379466319447689</v>
      </c>
      <c r="V27" s="28">
        <v>10.481162454990368</v>
      </c>
      <c r="W27" s="28">
        <v>10.579328787301071</v>
      </c>
      <c r="X27" s="28">
        <v>10.67802078648754</v>
      </c>
      <c r="Y27" s="28">
        <v>10.776734347543142</v>
      </c>
    </row>
    <row r="28" spans="1:25" x14ac:dyDescent="0.3">
      <c r="A28" t="s">
        <v>264</v>
      </c>
      <c r="B28" s="28">
        <v>10.041386641402744</v>
      </c>
      <c r="C28" s="28">
        <v>10.135475128000051</v>
      </c>
      <c r="D28" s="28">
        <v>10.23031130065525</v>
      </c>
      <c r="E28" s="28">
        <v>10.325232623318502</v>
      </c>
      <c r="F28" s="28">
        <v>10.420236549992753</v>
      </c>
      <c r="G28" s="28">
        <v>10.515321551257857</v>
      </c>
      <c r="H28" s="28">
        <v>10.602779613041148</v>
      </c>
      <c r="I28" s="28">
        <v>10.687072910189306</v>
      </c>
      <c r="J28" s="28">
        <v>10.770646263938429</v>
      </c>
      <c r="K28" s="28">
        <v>10.720885319966543</v>
      </c>
      <c r="L28" s="28">
        <v>10.685022560130692</v>
      </c>
      <c r="M28" s="28">
        <v>10.621332389918047</v>
      </c>
      <c r="N28" s="28">
        <v>10.553391890596034</v>
      </c>
      <c r="O28" s="28">
        <v>10.477437236512737</v>
      </c>
      <c r="P28" s="28">
        <v>10.403065814968135</v>
      </c>
      <c r="Q28" s="28">
        <v>10.323934993228827</v>
      </c>
      <c r="R28" s="28">
        <v>10.22825066121143</v>
      </c>
      <c r="S28" s="28">
        <v>10.275048613050863</v>
      </c>
      <c r="T28" s="28">
        <v>10.318832319757433</v>
      </c>
      <c r="U28" s="28">
        <v>10.343813178728807</v>
      </c>
      <c r="V28" s="28">
        <v>10.448537497691241</v>
      </c>
      <c r="W28" s="28">
        <v>10.543447906363344</v>
      </c>
      <c r="X28" s="28">
        <v>10.639820354843069</v>
      </c>
      <c r="Y28" s="28">
        <v>10.736253143748424</v>
      </c>
    </row>
    <row r="29" spans="1:25" x14ac:dyDescent="0.3">
      <c r="A29" t="s">
        <v>266</v>
      </c>
      <c r="B29" s="28">
        <v>10.019518090963629</v>
      </c>
      <c r="C29" s="28">
        <v>10.111327699820993</v>
      </c>
      <c r="D29" s="28">
        <v>10.204219051665188</v>
      </c>
      <c r="E29" s="28">
        <v>10.297227773145627</v>
      </c>
      <c r="F29" s="28">
        <v>10.39035027282134</v>
      </c>
      <c r="G29" s="28">
        <v>10.48358443804902</v>
      </c>
      <c r="H29" s="28">
        <v>10.566228313575612</v>
      </c>
      <c r="I29" s="28">
        <v>10.644018118458529</v>
      </c>
      <c r="J29" s="28">
        <v>10.720614188613245</v>
      </c>
      <c r="K29" s="28">
        <v>10.707227988604945</v>
      </c>
      <c r="L29" s="28">
        <v>10.719148134602994</v>
      </c>
      <c r="M29" s="28">
        <v>10.679952211482874</v>
      </c>
      <c r="N29" s="28">
        <v>10.633108064530806</v>
      </c>
      <c r="O29" s="28">
        <v>10.5716734549111</v>
      </c>
      <c r="P29" s="28">
        <v>10.513193185671232</v>
      </c>
      <c r="Q29" s="28">
        <v>10.445894287018746</v>
      </c>
      <c r="R29" s="28">
        <v>10.34753901368879</v>
      </c>
      <c r="S29" s="28">
        <v>10.351512942621669</v>
      </c>
      <c r="T29" s="28">
        <v>10.350719121200852</v>
      </c>
      <c r="U29" s="28">
        <v>10.322812312163496</v>
      </c>
      <c r="V29" s="28">
        <v>10.429319226690692</v>
      </c>
      <c r="W29" s="28">
        <v>10.522312707306151</v>
      </c>
      <c r="X29" s="28">
        <v>10.617319405212672</v>
      </c>
      <c r="Y29" s="28">
        <v>10.712409217953715</v>
      </c>
    </row>
    <row r="30" spans="1:25" x14ac:dyDescent="0.3">
      <c r="A30" t="s">
        <v>267</v>
      </c>
      <c r="B30" s="28">
        <v>0.37928721927166792</v>
      </c>
      <c r="C30" s="28">
        <v>0.38260283098424608</v>
      </c>
      <c r="D30" s="28">
        <v>0.38594923118166158</v>
      </c>
      <c r="E30" s="28">
        <v>0.38930331795939699</v>
      </c>
      <c r="F30" s="28">
        <v>0.39266491199475262</v>
      </c>
      <c r="G30" s="28">
        <v>0.3960338664352453</v>
      </c>
      <c r="H30" s="28">
        <v>0.39924696492880274</v>
      </c>
      <c r="I30" s="28">
        <v>0.40243096526336469</v>
      </c>
      <c r="J30" s="28">
        <v>0.40562421107318331</v>
      </c>
      <c r="K30" s="28">
        <v>0.40238230013118065</v>
      </c>
      <c r="L30" s="28">
        <v>0.39919352754094162</v>
      </c>
      <c r="M30" s="28">
        <v>0.39592755901138338</v>
      </c>
      <c r="N30" s="28">
        <v>0.39264849409057251</v>
      </c>
      <c r="O30" s="28">
        <v>0.38934751836798936</v>
      </c>
      <c r="P30" s="28">
        <v>0.38605547754114139</v>
      </c>
      <c r="Q30" s="28">
        <v>0.38276064645989316</v>
      </c>
      <c r="R30" s="28">
        <v>0.37948394850485817</v>
      </c>
      <c r="S30" s="28">
        <v>0.38345570268413764</v>
      </c>
      <c r="T30" s="28">
        <v>0.38740640943008631</v>
      </c>
      <c r="U30" s="28">
        <v>0.39096295248807833</v>
      </c>
      <c r="V30" s="28">
        <v>0.39519298691966925</v>
      </c>
      <c r="W30" s="28">
        <v>0.39854547526129125</v>
      </c>
      <c r="X30" s="28">
        <v>0.40202878072492987</v>
      </c>
      <c r="Y30" s="28">
        <v>0.40551753990184797</v>
      </c>
    </row>
    <row r="31" spans="1:25" x14ac:dyDescent="0.3">
      <c r="A31" t="s">
        <v>268</v>
      </c>
      <c r="B31" s="28">
        <v>0.37819233916248168</v>
      </c>
      <c r="C31" s="28">
        <v>0.38135591755714932</v>
      </c>
      <c r="D31" s="28">
        <v>0.38459597556287028</v>
      </c>
      <c r="E31" s="28">
        <v>0.38784531000793054</v>
      </c>
      <c r="F31" s="28">
        <v>0.39110365224168903</v>
      </c>
      <c r="G31" s="28">
        <v>0.39437084047630883</v>
      </c>
      <c r="H31" s="28">
        <v>0.39734870204996969</v>
      </c>
      <c r="I31" s="28">
        <v>0.40020887613950512</v>
      </c>
      <c r="J31" s="28">
        <v>0.40304590691793435</v>
      </c>
      <c r="K31" s="28">
        <v>0.40141807013636099</v>
      </c>
      <c r="L31" s="28">
        <v>0.40033023823026798</v>
      </c>
      <c r="M31" s="28">
        <v>0.39816731945563011</v>
      </c>
      <c r="N31" s="28">
        <v>0.39584281955228945</v>
      </c>
      <c r="O31" s="28">
        <v>0.39321171021228885</v>
      </c>
      <c r="P31" s="28">
        <v>0.39064510756641935</v>
      </c>
      <c r="Q31" s="28">
        <v>0.38789821606170999</v>
      </c>
      <c r="R31" s="28">
        <v>0.38451661530346415</v>
      </c>
      <c r="S31" s="28">
        <v>0.38663015680966351</v>
      </c>
      <c r="T31" s="28">
        <v>0.3886236027529314</v>
      </c>
      <c r="U31" s="28">
        <v>0.38989015012296468</v>
      </c>
      <c r="V31" s="28">
        <v>0.39421820769969379</v>
      </c>
      <c r="W31" s="28">
        <v>0.39746673250869596</v>
      </c>
      <c r="X31" s="28">
        <v>0.40087602869629585</v>
      </c>
      <c r="Y31" s="28">
        <v>0.40429192310066636</v>
      </c>
    </row>
    <row r="32" spans="1:25" x14ac:dyDescent="0.3">
      <c r="A32" t="s">
        <v>269</v>
      </c>
      <c r="B32" s="28">
        <v>0.3775146444413553</v>
      </c>
      <c r="C32" s="28">
        <v>0.38058808099281849</v>
      </c>
      <c r="D32" s="28">
        <v>0.38376445798475151</v>
      </c>
      <c r="E32" s="28">
        <v>0.38695108304956949</v>
      </c>
      <c r="F32" s="28">
        <v>0.39014763567950494</v>
      </c>
      <c r="G32" s="28">
        <v>0.39335394295501197</v>
      </c>
      <c r="H32" s="28">
        <v>0.39615617455136787</v>
      </c>
      <c r="I32" s="28">
        <v>0.39877491558812289</v>
      </c>
      <c r="J32" s="28">
        <v>0.40135165056684785</v>
      </c>
      <c r="K32" s="28">
        <v>0.40112458521243649</v>
      </c>
      <c r="L32" s="28">
        <v>0.40187657104321906</v>
      </c>
      <c r="M32" s="28">
        <v>0.40065121259008002</v>
      </c>
      <c r="N32" s="28">
        <v>0.39913182715039142</v>
      </c>
      <c r="O32" s="28">
        <v>0.39705103716079859</v>
      </c>
      <c r="P32" s="28">
        <v>0.39508677653398433</v>
      </c>
      <c r="Q32" s="28">
        <v>0.39278490939107957</v>
      </c>
      <c r="R32" s="28">
        <v>0.38928911280104533</v>
      </c>
      <c r="S32" s="28">
        <v>0.38973872935428072</v>
      </c>
      <c r="T32" s="28">
        <v>0.39000386638372098</v>
      </c>
      <c r="U32" s="28">
        <v>0.38922583188194071</v>
      </c>
      <c r="V32" s="28">
        <v>0.39361224787417248</v>
      </c>
      <c r="W32" s="28">
        <v>0.39679841432994162</v>
      </c>
      <c r="X32" s="28">
        <v>0.40016327178794336</v>
      </c>
      <c r="Y32" s="28">
        <v>0.40353542337369841</v>
      </c>
    </row>
    <row r="33" spans="1:49" x14ac:dyDescent="0.3">
      <c r="A33" t="s">
        <v>270</v>
      </c>
      <c r="B33" s="28">
        <v>0.37936301644738479</v>
      </c>
      <c r="C33" s="28">
        <v>0.38268336371710138</v>
      </c>
      <c r="D33" s="28">
        <v>0.38603404323007456</v>
      </c>
      <c r="E33" s="28">
        <v>0.38939230744852349</v>
      </c>
      <c r="F33" s="28">
        <v>0.39275797752156338</v>
      </c>
      <c r="G33" s="28">
        <v>0.39613091095800723</v>
      </c>
      <c r="H33" s="28">
        <v>0.39933133249513686</v>
      </c>
      <c r="I33" s="28">
        <v>0.40249078814410888</v>
      </c>
      <c r="J33" s="28">
        <v>0.40565462926191842</v>
      </c>
      <c r="K33" s="28">
        <v>0.40259926880062946</v>
      </c>
      <c r="L33" s="28">
        <v>0.3996557840976056</v>
      </c>
      <c r="M33" s="28">
        <v>0.39651424427078341</v>
      </c>
      <c r="N33" s="28">
        <v>0.39334134570041779</v>
      </c>
      <c r="O33" s="28">
        <v>0.39011174034852925</v>
      </c>
      <c r="P33" s="28">
        <v>0.38689746358464083</v>
      </c>
      <c r="Q33" s="28">
        <v>0.38365850211562896</v>
      </c>
      <c r="R33" s="28">
        <v>0.38034316528525114</v>
      </c>
      <c r="S33" s="28">
        <v>0.38408386740031009</v>
      </c>
      <c r="T33" s="28">
        <v>0.38777707160610275</v>
      </c>
      <c r="U33" s="28">
        <v>0.39103752210819187</v>
      </c>
      <c r="V33" s="28">
        <v>0.39526404314376568</v>
      </c>
      <c r="W33" s="28">
        <v>0.39862089814633095</v>
      </c>
      <c r="X33" s="28">
        <v>0.4021073725405665</v>
      </c>
      <c r="Y33" s="28">
        <v>0.40559923446861906</v>
      </c>
    </row>
    <row r="35" spans="1:49" x14ac:dyDescent="0.3">
      <c r="A35" t="s">
        <v>46</v>
      </c>
      <c r="B35" t="s">
        <v>297</v>
      </c>
      <c r="C35" t="s">
        <v>274</v>
      </c>
      <c r="D35" t="s">
        <v>275</v>
      </c>
      <c r="E35" t="s">
        <v>276</v>
      </c>
      <c r="F35" t="s">
        <v>277</v>
      </c>
      <c r="G35" t="s">
        <v>278</v>
      </c>
      <c r="H35" t="s">
        <v>279</v>
      </c>
      <c r="I35" t="s">
        <v>280</v>
      </c>
      <c r="J35" t="s">
        <v>281</v>
      </c>
      <c r="K35" t="s">
        <v>282</v>
      </c>
      <c r="L35" t="s">
        <v>283</v>
      </c>
      <c r="M35" t="s">
        <v>284</v>
      </c>
      <c r="N35" t="s">
        <v>285</v>
      </c>
      <c r="O35" t="s">
        <v>286</v>
      </c>
      <c r="P35" t="s">
        <v>287</v>
      </c>
      <c r="Q35" t="s">
        <v>288</v>
      </c>
      <c r="R35" t="s">
        <v>289</v>
      </c>
      <c r="S35" t="s">
        <v>290</v>
      </c>
      <c r="T35" t="s">
        <v>291</v>
      </c>
      <c r="U35" t="s">
        <v>292</v>
      </c>
      <c r="V35" t="s">
        <v>293</v>
      </c>
      <c r="W35" t="s">
        <v>294</v>
      </c>
      <c r="X35" t="s">
        <v>295</v>
      </c>
      <c r="Y35" t="s">
        <v>296</v>
      </c>
    </row>
    <row r="36" spans="1:49" x14ac:dyDescent="0.3">
      <c r="A36" t="s">
        <v>257</v>
      </c>
      <c r="B36" s="28">
        <v>12.325066831621196</v>
      </c>
      <c r="C36" s="28">
        <v>13.554388590948172</v>
      </c>
      <c r="D36" s="28">
        <v>14.646069945902674</v>
      </c>
      <c r="E36" s="28">
        <v>15.719032022728031</v>
      </c>
      <c r="F36" s="28">
        <v>16.773832415279141</v>
      </c>
      <c r="G36" s="28">
        <v>17.810850174266935</v>
      </c>
      <c r="H36" s="28">
        <v>19.398249520532691</v>
      </c>
      <c r="I36" s="28">
        <v>24.3661697852903</v>
      </c>
      <c r="J36" s="28">
        <v>30.738071938006382</v>
      </c>
      <c r="K36" s="28">
        <v>27.154374010527569</v>
      </c>
      <c r="L36" s="28">
        <v>28.274715807040749</v>
      </c>
      <c r="M36" s="28">
        <v>26.577031550477152</v>
      </c>
      <c r="N36" s="28">
        <v>25.310154852352142</v>
      </c>
      <c r="O36" s="28">
        <v>23.031115813560188</v>
      </c>
      <c r="P36" s="28">
        <v>22.301207572025994</v>
      </c>
      <c r="Q36" s="28">
        <v>21.109074719383024</v>
      </c>
      <c r="R36" s="28">
        <v>16.949183110657664</v>
      </c>
      <c r="S36" s="28">
        <v>10.817135412250366</v>
      </c>
      <c r="T36" s="28">
        <v>13.933342627100323</v>
      </c>
      <c r="U36" s="28">
        <v>11.785551206271602</v>
      </c>
      <c r="V36" s="28">
        <v>10.782045862535973</v>
      </c>
      <c r="W36" s="28">
        <v>11.860489884031459</v>
      </c>
      <c r="X36" s="28">
        <v>12.628352847221626</v>
      </c>
      <c r="Y36" s="28">
        <v>13.383104900754942</v>
      </c>
    </row>
    <row r="37" spans="1:49" x14ac:dyDescent="0.3">
      <c r="A37" t="s">
        <v>260</v>
      </c>
      <c r="B37" s="28">
        <v>11.106426412212432</v>
      </c>
      <c r="C37" s="28">
        <v>12.222735605638926</v>
      </c>
      <c r="D37" s="28">
        <v>13.208011474660902</v>
      </c>
      <c r="E37" s="28">
        <v>14.17641999436006</v>
      </c>
      <c r="F37" s="28">
        <v>15.128473085958165</v>
      </c>
      <c r="G37" s="28">
        <v>16.064510218986342</v>
      </c>
      <c r="H37" s="28">
        <v>17.714689341374378</v>
      </c>
      <c r="I37" s="28">
        <v>22.956279575751655</v>
      </c>
      <c r="J37" s="28">
        <v>29.540138923692279</v>
      </c>
      <c r="K37" s="28">
        <v>26.479806456937684</v>
      </c>
      <c r="L37" s="28">
        <v>28.425186384260162</v>
      </c>
      <c r="M37" s="28">
        <v>27.093208989194867</v>
      </c>
      <c r="N37" s="28">
        <v>26.134548758559163</v>
      </c>
      <c r="O37" s="28">
        <v>24.093515895211873</v>
      </c>
      <c r="P37" s="28">
        <v>23.565983531328349</v>
      </c>
      <c r="Q37" s="28">
        <v>22.516422228647734</v>
      </c>
      <c r="R37" s="28">
        <v>18.384910709004714</v>
      </c>
      <c r="S37" s="28">
        <v>11.704354627512854</v>
      </c>
      <c r="T37" s="28">
        <v>13.658530700328804</v>
      </c>
      <c r="U37" s="28">
        <v>10.626038289797966</v>
      </c>
      <c r="V37" s="28">
        <v>9.7202960570040275</v>
      </c>
      <c r="W37" s="28">
        <v>10.693480977909624</v>
      </c>
      <c r="X37" s="28">
        <v>11.386393178396752</v>
      </c>
      <c r="Y37" s="28">
        <v>12.067488919970184</v>
      </c>
    </row>
    <row r="38" spans="1:49" x14ac:dyDescent="0.3">
      <c r="A38" t="s">
        <v>261</v>
      </c>
      <c r="B38" s="28">
        <v>2.432453362414436</v>
      </c>
      <c r="C38" s="28">
        <v>2.6573729676145792</v>
      </c>
      <c r="D38" s="28">
        <v>2.8700795770830161</v>
      </c>
      <c r="E38" s="28">
        <v>3.0790784064090562</v>
      </c>
      <c r="F38" s="28">
        <v>3.2844620773069382</v>
      </c>
      <c r="G38" s="28">
        <v>3.4863102317385479</v>
      </c>
      <c r="H38" s="28">
        <v>3.686247329542879</v>
      </c>
      <c r="I38" s="28">
        <v>3.8834590104265647</v>
      </c>
      <c r="J38" s="28">
        <v>4.0775682021379378</v>
      </c>
      <c r="K38" s="28">
        <v>3.9387600031641634</v>
      </c>
      <c r="L38" s="28">
        <v>3.7967983726738774</v>
      </c>
      <c r="M38" s="28">
        <v>3.6545163067064959</v>
      </c>
      <c r="N38" s="28">
        <v>3.5102445701644824</v>
      </c>
      <c r="O38" s="28">
        <v>3.364099352267278</v>
      </c>
      <c r="P38" s="28">
        <v>3.2154075015089574</v>
      </c>
      <c r="Q38" s="28">
        <v>3.0644290396074001</v>
      </c>
      <c r="R38" s="28">
        <v>2.9114517838063003</v>
      </c>
      <c r="S38" s="28">
        <v>2.7070462822859178</v>
      </c>
      <c r="T38" s="28">
        <v>2.5069144585366145</v>
      </c>
      <c r="U38" s="28">
        <v>2.3130570605258463</v>
      </c>
      <c r="V38" s="28">
        <v>2.1175123972037149</v>
      </c>
      <c r="W38" s="28">
        <v>2.3279432390085177</v>
      </c>
      <c r="X38" s="28">
        <v>2.4777637452194479</v>
      </c>
      <c r="Y38" s="28">
        <v>2.6249934542848496</v>
      </c>
    </row>
    <row r="39" spans="1:49" x14ac:dyDescent="0.3">
      <c r="A39" t="s">
        <v>263</v>
      </c>
      <c r="B39" s="28">
        <v>8.6755798829206796</v>
      </c>
      <c r="C39" s="28">
        <v>9.5669722824702959</v>
      </c>
      <c r="D39" s="28">
        <v>10.339545574619324</v>
      </c>
      <c r="E39" s="28">
        <v>11.098961236202044</v>
      </c>
      <c r="F39" s="28">
        <v>11.845638161202951</v>
      </c>
      <c r="G39" s="28">
        <v>12.579835884656292</v>
      </c>
      <c r="H39" s="28">
        <v>14.479568052719165</v>
      </c>
      <c r="I39" s="28">
        <v>20.416788758664342</v>
      </c>
      <c r="J39" s="28">
        <v>27.461007827846725</v>
      </c>
      <c r="K39" s="28">
        <v>25.554069327275009</v>
      </c>
      <c r="L39" s="28">
        <v>29.112395105455143</v>
      </c>
      <c r="M39" s="28">
        <v>28.462185110859856</v>
      </c>
      <c r="N39" s="28">
        <v>28.047890213746903</v>
      </c>
      <c r="O39" s="28">
        <v>26.414385433085787</v>
      </c>
      <c r="P39" s="28">
        <v>26.206294144085838</v>
      </c>
      <c r="Q39" s="28">
        <v>25.367878198995527</v>
      </c>
      <c r="R39" s="28">
        <v>21.258620021128735</v>
      </c>
      <c r="S39" s="28">
        <v>13.697923257776024</v>
      </c>
      <c r="T39" s="28">
        <v>13.440804407907743</v>
      </c>
      <c r="U39" s="28">
        <v>8.3146550254566218</v>
      </c>
      <c r="V39" s="28">
        <v>7.6044974480714966</v>
      </c>
      <c r="W39" s="28">
        <v>8.367246676692135</v>
      </c>
      <c r="X39" s="28">
        <v>8.9103422902138743</v>
      </c>
      <c r="Y39" s="28">
        <v>9.4442137773037</v>
      </c>
    </row>
    <row r="40" spans="1:49" x14ac:dyDescent="0.3">
      <c r="A40" t="s">
        <v>265</v>
      </c>
      <c r="B40" s="28">
        <v>4.8144159902150605</v>
      </c>
      <c r="C40" s="28">
        <v>5.3185064759654193</v>
      </c>
      <c r="D40" s="28">
        <v>5.748479498236974</v>
      </c>
      <c r="E40" s="28">
        <v>6.1711659089041637</v>
      </c>
      <c r="F40" s="28">
        <v>6.5868072095440624</v>
      </c>
      <c r="G40" s="28">
        <v>6.9955442891271691</v>
      </c>
      <c r="H40" s="28">
        <v>10.000344704933511</v>
      </c>
      <c r="I40" s="28">
        <v>17.472814239871894</v>
      </c>
      <c r="J40" s="28">
        <v>25.254661982008589</v>
      </c>
      <c r="K40" s="28">
        <v>25.40290058204808</v>
      </c>
      <c r="L40" s="28">
        <v>31.242876275548436</v>
      </c>
      <c r="M40" s="28">
        <v>31.481242093222424</v>
      </c>
      <c r="N40" s="28">
        <v>31.713896600430143</v>
      </c>
      <c r="O40" s="28">
        <v>30.536982484472187</v>
      </c>
      <c r="P40" s="28">
        <v>30.636329736464241</v>
      </c>
      <c r="Q40" s="28">
        <v>29.969743610102732</v>
      </c>
      <c r="R40" s="28">
        <v>25.806118068417394</v>
      </c>
      <c r="S40" s="28">
        <v>17.248897320570517</v>
      </c>
      <c r="T40" s="28">
        <v>14.033752773501751</v>
      </c>
      <c r="U40" s="28">
        <v>4.6214830075389619</v>
      </c>
      <c r="V40" s="28">
        <v>4.2263405515298098</v>
      </c>
      <c r="W40" s="28">
        <v>4.6506671701189308</v>
      </c>
      <c r="X40" s="28">
        <v>4.9528154206261927</v>
      </c>
      <c r="Y40" s="28">
        <v>5.249852209920121</v>
      </c>
    </row>
    <row r="42" spans="1:49" x14ac:dyDescent="0.3">
      <c r="A42" t="s">
        <v>298</v>
      </c>
      <c r="B42" t="s">
        <v>297</v>
      </c>
      <c r="D42" t="s">
        <v>274</v>
      </c>
      <c r="F42" t="s">
        <v>275</v>
      </c>
      <c r="H42" t="s">
        <v>276</v>
      </c>
      <c r="J42" t="s">
        <v>277</v>
      </c>
      <c r="L42" t="s">
        <v>278</v>
      </c>
      <c r="N42" t="s">
        <v>279</v>
      </c>
      <c r="P42" t="s">
        <v>280</v>
      </c>
      <c r="R42" t="s">
        <v>281</v>
      </c>
      <c r="T42" t="s">
        <v>282</v>
      </c>
      <c r="V42" t="s">
        <v>283</v>
      </c>
      <c r="X42" t="s">
        <v>284</v>
      </c>
      <c r="Z42" t="s">
        <v>285</v>
      </c>
      <c r="AB42" t="s">
        <v>286</v>
      </c>
      <c r="AD42" t="s">
        <v>287</v>
      </c>
      <c r="AF42" t="s">
        <v>288</v>
      </c>
      <c r="AH42" t="s">
        <v>289</v>
      </c>
      <c r="AJ42" t="s">
        <v>290</v>
      </c>
      <c r="AL42" t="s">
        <v>291</v>
      </c>
      <c r="AN42" t="s">
        <v>292</v>
      </c>
      <c r="AP42" t="s">
        <v>293</v>
      </c>
      <c r="AR42" t="s">
        <v>294</v>
      </c>
      <c r="AT42" t="s">
        <v>295</v>
      </c>
      <c r="AV42" t="s">
        <v>296</v>
      </c>
    </row>
    <row r="43" spans="1:49" x14ac:dyDescent="0.3">
      <c r="A43" t="s">
        <v>267</v>
      </c>
      <c r="B43" s="28">
        <v>19.531620459423735</v>
      </c>
      <c r="C43" s="28">
        <v>6.3732099833998213</v>
      </c>
      <c r="D43" s="28">
        <v>21.568704899039282</v>
      </c>
      <c r="E43" s="28">
        <v>7.0379573599599965</v>
      </c>
      <c r="F43" s="28">
        <v>23.529549785633751</v>
      </c>
      <c r="G43" s="28">
        <v>7.6778353704171494</v>
      </c>
      <c r="H43" s="28">
        <v>25.49036129096012</v>
      </c>
      <c r="I43" s="28">
        <v>8.3176637544549941</v>
      </c>
      <c r="J43" s="28">
        <v>27.451175193312494</v>
      </c>
      <c r="K43" s="28">
        <v>8.9574931480451632</v>
      </c>
      <c r="L43" s="28">
        <v>29.411991410225003</v>
      </c>
      <c r="M43" s="28">
        <v>9.5973234874238909</v>
      </c>
      <c r="N43" s="28">
        <v>31.372545692576203</v>
      </c>
      <c r="O43" s="28">
        <v>10.236856646098499</v>
      </c>
      <c r="P43" s="28">
        <v>33.333329835691814</v>
      </c>
      <c r="Q43" s="28">
        <v>10.876661551833338</v>
      </c>
      <c r="R43" s="28">
        <v>35.294117430723084</v>
      </c>
      <c r="S43" s="28">
        <v>11.516470382211798</v>
      </c>
      <c r="T43" s="28">
        <v>33.82353630250384</v>
      </c>
      <c r="U43" s="28">
        <v>11.036624465750798</v>
      </c>
      <c r="V43" s="28">
        <v>32.352938369600388</v>
      </c>
      <c r="W43" s="28">
        <v>10.556763024111037</v>
      </c>
      <c r="X43" s="28">
        <v>30.882360480865032</v>
      </c>
      <c r="Y43" s="28">
        <v>10.076915751061771</v>
      </c>
      <c r="Z43" s="28">
        <v>29.411791138344576</v>
      </c>
      <c r="AA43">
        <v>9.5970699323747244</v>
      </c>
      <c r="AB43">
        <v>27.941179372603905</v>
      </c>
      <c r="AC43">
        <v>9.1172068852045562</v>
      </c>
      <c r="AD43">
        <v>26.470589594981359</v>
      </c>
      <c r="AE43">
        <v>8.6373533133472922</v>
      </c>
      <c r="AF43">
        <v>25.000010376292366</v>
      </c>
      <c r="AG43">
        <v>8.157501969727619</v>
      </c>
      <c r="AH43">
        <v>23.463541582089629</v>
      </c>
      <c r="AI43">
        <v>7.6561549995034905</v>
      </c>
      <c r="AJ43">
        <v>22.058821070577771</v>
      </c>
      <c r="AK43">
        <v>7.19779254609396</v>
      </c>
      <c r="AL43">
        <v>20.58823670366472</v>
      </c>
      <c r="AM43">
        <v>6.7179448416069913</v>
      </c>
      <c r="AN43">
        <v>19.117718109248557</v>
      </c>
      <c r="AO43">
        <v>6.2382112865753712</v>
      </c>
      <c r="AP43">
        <v>17.647133135723816</v>
      </c>
      <c r="AQ43">
        <v>5.7583745938008999</v>
      </c>
      <c r="AR43">
        <v>19.607917370736139</v>
      </c>
      <c r="AS43">
        <v>6.3981669929214124</v>
      </c>
      <c r="AT43">
        <v>21.078521636398285</v>
      </c>
      <c r="AU43">
        <v>6.878039580190932</v>
      </c>
      <c r="AV43">
        <v>22.549123813394143</v>
      </c>
      <c r="AW43">
        <v>7.3579074448854556</v>
      </c>
    </row>
    <row r="44" spans="1:49" x14ac:dyDescent="0.3">
      <c r="A44" t="s">
        <v>268</v>
      </c>
      <c r="B44" s="28">
        <v>62.121347613996974</v>
      </c>
      <c r="C44" s="28">
        <v>20.270405248105973</v>
      </c>
      <c r="D44" s="28">
        <v>69.019757956759051</v>
      </c>
      <c r="E44" s="28">
        <v>22.521312527179134</v>
      </c>
      <c r="F44" s="28">
        <v>75.294759437599282</v>
      </c>
      <c r="G44" s="28">
        <v>24.569280439283744</v>
      </c>
      <c r="H44" s="28">
        <v>81.56939288034927</v>
      </c>
      <c r="I44" s="28">
        <v>26.616758568886546</v>
      </c>
      <c r="J44" s="28">
        <v>87.84403716279266</v>
      </c>
      <c r="K44" s="28">
        <v>28.664241106589049</v>
      </c>
      <c r="L44" s="28">
        <v>94.118691960985544</v>
      </c>
      <c r="M44" s="28">
        <v>30.711727810031149</v>
      </c>
      <c r="N44" s="28">
        <v>100.39211304063235</v>
      </c>
      <c r="O44" s="28">
        <v>32.757884033920433</v>
      </c>
      <c r="P44" s="28">
        <v>106.66661674833453</v>
      </c>
      <c r="Q44" s="28">
        <v>34.805272744815987</v>
      </c>
      <c r="R44" s="28">
        <v>112.94117352435214</v>
      </c>
      <c r="S44" s="28">
        <v>36.8527033471942</v>
      </c>
      <c r="T44" s="28">
        <v>108.2353904916732</v>
      </c>
      <c r="U44" s="28">
        <v>35.317243703682223</v>
      </c>
      <c r="V44" s="28">
        <v>103.52937367683941</v>
      </c>
      <c r="W44" s="28">
        <v>33.78163825279379</v>
      </c>
      <c r="X44" s="28">
        <v>98.823625234861055</v>
      </c>
      <c r="Y44" s="28">
        <v>32.246132736993999</v>
      </c>
      <c r="Z44" s="28">
        <v>94.117966551085715</v>
      </c>
      <c r="AA44">
        <v>30.710593637671849</v>
      </c>
      <c r="AB44">
        <v>89.411797727052232</v>
      </c>
      <c r="AC44">
        <v>29.175055727685727</v>
      </c>
      <c r="AD44">
        <v>84.705896673318279</v>
      </c>
      <c r="AE44">
        <v>27.639526146435852</v>
      </c>
      <c r="AF44">
        <v>80.000097756441875</v>
      </c>
      <c r="AG44">
        <v>26.103958959627406</v>
      </c>
      <c r="AH44">
        <v>75.294111442044198</v>
      </c>
      <c r="AI44">
        <v>24.568476299478931</v>
      </c>
      <c r="AJ44">
        <v>70.588226098019504</v>
      </c>
      <c r="AK44">
        <v>23.032934427782802</v>
      </c>
      <c r="AL44">
        <v>65.882348418152347</v>
      </c>
      <c r="AM44">
        <v>21.497458166433219</v>
      </c>
      <c r="AN44">
        <v>61.176562482204695</v>
      </c>
      <c r="AO44">
        <v>19.962051693140925</v>
      </c>
      <c r="AP44">
        <v>56.47096494761805</v>
      </c>
      <c r="AQ44">
        <v>18.426985012773347</v>
      </c>
      <c r="AR44">
        <v>62.745451043418797</v>
      </c>
      <c r="AS44">
        <v>20.474275655753601</v>
      </c>
      <c r="AT44">
        <v>67.451411604530961</v>
      </c>
      <c r="AU44">
        <v>22.009895970728948</v>
      </c>
      <c r="AV44">
        <v>72.15735844478634</v>
      </c>
      <c r="AW44">
        <v>23.545490578221496</v>
      </c>
    </row>
    <row r="45" spans="1:49" x14ac:dyDescent="0.3">
      <c r="A45" t="s">
        <v>269</v>
      </c>
      <c r="B45" s="28">
        <v>77.358512964823234</v>
      </c>
      <c r="C45" s="28">
        <v>25.242403257004511</v>
      </c>
      <c r="D45" s="28">
        <v>86.274636609680869</v>
      </c>
      <c r="E45" s="28">
        <v>28.151523940056979</v>
      </c>
      <c r="F45" s="28">
        <v>94.118596016204478</v>
      </c>
      <c r="G45" s="28">
        <v>30.711742726601322</v>
      </c>
      <c r="H45" s="28">
        <v>101.96191370891354</v>
      </c>
      <c r="I45" s="28">
        <v>33.271109441438774</v>
      </c>
      <c r="J45" s="28">
        <v>109.80524711393879</v>
      </c>
      <c r="K45" s="28">
        <v>35.830482532462625</v>
      </c>
      <c r="L45" s="28">
        <v>117.64859578677034</v>
      </c>
      <c r="M45" s="28">
        <v>38.389861670152165</v>
      </c>
      <c r="N45" s="28">
        <v>125.4901116963548</v>
      </c>
      <c r="O45" s="28">
        <v>40.947298262772335</v>
      </c>
      <c r="P45" s="28">
        <v>133.33323401945285</v>
      </c>
      <c r="Q45" s="28">
        <v>43.506548147598608</v>
      </c>
      <c r="R45" s="28">
        <v>141.17646519609221</v>
      </c>
      <c r="S45" s="28">
        <v>46.065877854933376</v>
      </c>
      <c r="T45" s="28">
        <v>135.29430936227129</v>
      </c>
      <c r="U45" s="28">
        <v>44.146592020018204</v>
      </c>
      <c r="V45" s="28">
        <v>129.41168774466266</v>
      </c>
      <c r="W45" s="28">
        <v>42.22704780387172</v>
      </c>
      <c r="X45" s="28">
        <v>123.52960052502667</v>
      </c>
      <c r="Y45" s="28">
        <v>40.307656594006147</v>
      </c>
      <c r="Z45" s="28">
        <v>117.64768136726994</v>
      </c>
      <c r="AA45">
        <v>38.388168784391659</v>
      </c>
      <c r="AB45">
        <v>111.7647693143353</v>
      </c>
      <c r="AC45">
        <v>36.468808433396219</v>
      </c>
      <c r="AD45">
        <v>105.88237986653354</v>
      </c>
      <c r="AE45">
        <v>34.549400765625307</v>
      </c>
      <c r="AF45">
        <v>100.00017830288078</v>
      </c>
      <c r="AG45">
        <v>32.629881535752389</v>
      </c>
      <c r="AH45">
        <v>94.117637734805243</v>
      </c>
      <c r="AI45">
        <v>30.710603748591033</v>
      </c>
      <c r="AJ45">
        <v>88.235286816256661</v>
      </c>
      <c r="AK45">
        <v>28.791171710677023</v>
      </c>
      <c r="AL45">
        <v>82.352917967656055</v>
      </c>
      <c r="AM45">
        <v>26.871855278161899</v>
      </c>
      <c r="AN45">
        <v>76.470583865242219</v>
      </c>
      <c r="AO45">
        <v>24.952316309297199</v>
      </c>
      <c r="AP45">
        <v>70.588809444547678</v>
      </c>
      <c r="AQ45">
        <v>23.033859315607792</v>
      </c>
      <c r="AR45">
        <v>78.43190044046095</v>
      </c>
      <c r="AS45">
        <v>25.592940839734879</v>
      </c>
      <c r="AT45">
        <v>84.314370380265387</v>
      </c>
      <c r="AU45">
        <v>27.512485693960883</v>
      </c>
      <c r="AV45">
        <v>90.196818124707562</v>
      </c>
      <c r="AW45">
        <v>29.431991023491776</v>
      </c>
    </row>
    <row r="46" spans="1:49" x14ac:dyDescent="0.3">
      <c r="A46" t="s">
        <v>270</v>
      </c>
      <c r="B46" s="28">
        <v>39.079713357515502</v>
      </c>
      <c r="C46" s="28">
        <v>12.751790112667507</v>
      </c>
      <c r="D46" s="28">
        <v>43.137401787563412</v>
      </c>
      <c r="E46" s="28">
        <v>14.075918775505048</v>
      </c>
      <c r="F46" s="28">
        <v>47.059096836448262</v>
      </c>
      <c r="G46" s="28">
        <v>15.355681278806443</v>
      </c>
      <c r="H46" s="28">
        <v>50.980720390516488</v>
      </c>
      <c r="I46" s="28">
        <v>16.63533933590174</v>
      </c>
      <c r="J46" s="28">
        <v>54.902348888022615</v>
      </c>
      <c r="K46" s="28">
        <v>17.914999462246012</v>
      </c>
      <c r="L46" s="28">
        <v>58.823982163496368</v>
      </c>
      <c r="M46" s="28">
        <v>19.194661529633226</v>
      </c>
      <c r="N46" s="28">
        <v>62.745089004371508</v>
      </c>
      <c r="O46" s="28">
        <v>20.47370879964496</v>
      </c>
      <c r="P46" s="28">
        <v>66.666656832487291</v>
      </c>
      <c r="Q46" s="28">
        <v>21.753319611249548</v>
      </c>
      <c r="R46" s="28">
        <v>70.588234697770432</v>
      </c>
      <c r="S46" s="28">
        <v>23.03294061842924</v>
      </c>
      <c r="T46" s="28">
        <v>67.647078123726985</v>
      </c>
      <c r="U46" s="28">
        <v>22.07325265105586</v>
      </c>
      <c r="V46" s="28">
        <v>64.705874545082793</v>
      </c>
      <c r="W46" s="28">
        <v>21.113525665142159</v>
      </c>
      <c r="X46" s="28">
        <v>61.764726351254993</v>
      </c>
      <c r="Y46" s="28">
        <v>20.153831991993915</v>
      </c>
      <c r="Z46" s="28">
        <v>58.823599928295835</v>
      </c>
      <c r="AA46">
        <v>19.194138638994893</v>
      </c>
      <c r="AB46">
        <v>55.882360519641736</v>
      </c>
      <c r="AC46">
        <v>18.234413404630242</v>
      </c>
      <c r="AD46">
        <v>52.941179928197087</v>
      </c>
      <c r="AE46">
        <v>17.274706337455957</v>
      </c>
      <c r="AF46">
        <v>50.000025436818063</v>
      </c>
      <c r="AG46">
        <v>16.315000698790776</v>
      </c>
      <c r="AH46">
        <v>47.058821292607355</v>
      </c>
      <c r="AI46">
        <v>15.355294340870444</v>
      </c>
      <c r="AJ46">
        <v>44.117642230100195</v>
      </c>
      <c r="AK46">
        <v>14.395584787582711</v>
      </c>
      <c r="AL46">
        <v>41.176472494395469</v>
      </c>
      <c r="AM46">
        <v>13.4358925105998</v>
      </c>
      <c r="AN46">
        <v>38.235410084474289</v>
      </c>
      <c r="AO46">
        <v>12.476398252377793</v>
      </c>
      <c r="AP46">
        <v>35.294262384514482</v>
      </c>
      <c r="AQ46">
        <v>11.51675779830977</v>
      </c>
      <c r="AR46">
        <v>39.215831060216637</v>
      </c>
      <c r="AS46">
        <v>12.796341380004911</v>
      </c>
      <c r="AT46">
        <v>42.157039650406112</v>
      </c>
      <c r="AU46">
        <v>13.756087792286518</v>
      </c>
      <c r="AV46">
        <v>45.098244119594703</v>
      </c>
      <c r="AW46">
        <v>14.715824374172229</v>
      </c>
    </row>
    <row r="48" spans="1:49" x14ac:dyDescent="0.3">
      <c r="A48" t="s">
        <v>299</v>
      </c>
      <c r="B48" t="s">
        <v>297</v>
      </c>
      <c r="D48" t="s">
        <v>274</v>
      </c>
      <c r="F48" t="s">
        <v>275</v>
      </c>
      <c r="H48" t="s">
        <v>276</v>
      </c>
      <c r="J48" t="s">
        <v>277</v>
      </c>
      <c r="L48" t="s">
        <v>278</v>
      </c>
      <c r="N48" t="s">
        <v>279</v>
      </c>
      <c r="P48" t="s">
        <v>280</v>
      </c>
      <c r="R48" t="s">
        <v>281</v>
      </c>
      <c r="T48" t="s">
        <v>282</v>
      </c>
      <c r="V48" t="s">
        <v>283</v>
      </c>
      <c r="X48" t="s">
        <v>284</v>
      </c>
      <c r="Z48" t="s">
        <v>285</v>
      </c>
      <c r="AB48" t="s">
        <v>286</v>
      </c>
      <c r="AD48" t="s">
        <v>287</v>
      </c>
      <c r="AF48" t="s">
        <v>288</v>
      </c>
      <c r="AH48" t="s">
        <v>289</v>
      </c>
      <c r="AJ48" t="s">
        <v>290</v>
      </c>
      <c r="AL48" t="s">
        <v>291</v>
      </c>
      <c r="AN48" t="s">
        <v>292</v>
      </c>
      <c r="AP48" t="s">
        <v>293</v>
      </c>
      <c r="AR48" t="s">
        <v>294</v>
      </c>
      <c r="AT48" t="s">
        <v>295</v>
      </c>
      <c r="AV48" t="s">
        <v>296</v>
      </c>
    </row>
    <row r="49" spans="1:49" x14ac:dyDescent="0.3"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49" x14ac:dyDescent="0.3">
      <c r="A50" t="s">
        <v>345</v>
      </c>
      <c r="B50" t="s">
        <v>297</v>
      </c>
      <c r="D50" t="s">
        <v>274</v>
      </c>
      <c r="F50" t="s">
        <v>275</v>
      </c>
      <c r="H50" t="s">
        <v>276</v>
      </c>
      <c r="J50" t="s">
        <v>277</v>
      </c>
      <c r="L50" t="s">
        <v>278</v>
      </c>
      <c r="N50" t="s">
        <v>279</v>
      </c>
      <c r="P50" t="s">
        <v>280</v>
      </c>
      <c r="R50" t="s">
        <v>281</v>
      </c>
      <c r="T50" t="s">
        <v>282</v>
      </c>
      <c r="V50" t="s">
        <v>283</v>
      </c>
      <c r="X50" t="s">
        <v>284</v>
      </c>
      <c r="Z50" t="s">
        <v>285</v>
      </c>
      <c r="AB50" t="s">
        <v>286</v>
      </c>
      <c r="AD50" t="s">
        <v>287</v>
      </c>
      <c r="AF50" t="s">
        <v>288</v>
      </c>
      <c r="AH50" t="s">
        <v>289</v>
      </c>
      <c r="AJ50" t="s">
        <v>290</v>
      </c>
      <c r="AL50" t="s">
        <v>291</v>
      </c>
      <c r="AN50" t="s">
        <v>292</v>
      </c>
      <c r="AP50" t="s">
        <v>293</v>
      </c>
      <c r="AR50" t="s">
        <v>294</v>
      </c>
      <c r="AT50" t="s">
        <v>295</v>
      </c>
      <c r="AV50" t="s">
        <v>296</v>
      </c>
    </row>
    <row r="51" spans="1:49" x14ac:dyDescent="0.3">
      <c r="A51" t="s">
        <v>389</v>
      </c>
      <c r="B51" s="28">
        <v>0</v>
      </c>
      <c r="C51" s="28">
        <v>0</v>
      </c>
      <c r="D51" s="28">
        <v>0</v>
      </c>
      <c r="E51" s="28">
        <v>0</v>
      </c>
      <c r="F51" s="28">
        <v>0</v>
      </c>
      <c r="G51" s="28">
        <v>0</v>
      </c>
      <c r="H51" s="28">
        <v>0</v>
      </c>
      <c r="I51" s="28">
        <v>0</v>
      </c>
      <c r="J51" s="28">
        <v>0</v>
      </c>
      <c r="K51" s="28">
        <v>0</v>
      </c>
      <c r="L51" s="28">
        <v>0</v>
      </c>
      <c r="M51" s="28">
        <v>0</v>
      </c>
      <c r="N51" s="28">
        <v>-68.159952693105211</v>
      </c>
      <c r="O51" s="28">
        <v>126.34558937293741</v>
      </c>
      <c r="P51" s="28">
        <v>-141.43992378964705</v>
      </c>
      <c r="Q51" s="28">
        <v>272.22330150332152</v>
      </c>
      <c r="R51" s="28">
        <v>-208.41062354318956</v>
      </c>
      <c r="S51" s="28">
        <v>411.58507681259346</v>
      </c>
      <c r="T51" s="28">
        <v>-348.32659263008236</v>
      </c>
      <c r="U51" s="28">
        <v>370.53896788092754</v>
      </c>
      <c r="V51" s="28">
        <v>-554.99492965668401</v>
      </c>
      <c r="W51" s="28">
        <v>347.62288890148648</v>
      </c>
      <c r="X51" s="28">
        <v>-613.3538649164301</v>
      </c>
      <c r="Y51" s="28">
        <v>271.28938762753342</v>
      </c>
      <c r="Z51" s="28">
        <v>-653.05056613901138</v>
      </c>
      <c r="AA51">
        <v>192.89945468817862</v>
      </c>
      <c r="AB51">
        <v>-653.04970933468439</v>
      </c>
      <c r="AC51">
        <v>103.80605654872355</v>
      </c>
      <c r="AD51">
        <v>-661.97080315887092</v>
      </c>
      <c r="AE51">
        <v>19.241709217630707</v>
      </c>
      <c r="AF51">
        <v>-641.91364992443459</v>
      </c>
      <c r="AG51">
        <v>-78.758963397494682</v>
      </c>
      <c r="AH51">
        <v>-504.89953874076309</v>
      </c>
      <c r="AI51">
        <v>-250.10478919351237</v>
      </c>
      <c r="AJ51">
        <v>-287.58366017293633</v>
      </c>
      <c r="AK51">
        <v>-270.54526917284159</v>
      </c>
      <c r="AL51">
        <v>-68.159984554289935</v>
      </c>
      <c r="AM51">
        <v>-282.23199989273519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</row>
    <row r="52" spans="1:49" x14ac:dyDescent="0.3">
      <c r="B52" s="28"/>
    </row>
    <row r="53" spans="1:49" x14ac:dyDescent="0.3">
      <c r="A53" t="s">
        <v>300</v>
      </c>
      <c r="B53" s="29" t="s">
        <v>301</v>
      </c>
      <c r="C53" t="s">
        <v>302</v>
      </c>
      <c r="D53" t="s">
        <v>303</v>
      </c>
    </row>
    <row r="54" spans="1:49" x14ac:dyDescent="0.3">
      <c r="A54" t="s">
        <v>304</v>
      </c>
      <c r="B54" s="29">
        <v>2.5173053523383904</v>
      </c>
      <c r="C54">
        <v>15</v>
      </c>
    </row>
    <row r="55" spans="1:49" x14ac:dyDescent="0.3">
      <c r="A55" t="s">
        <v>305</v>
      </c>
      <c r="B55" s="28">
        <v>359.99999084893784</v>
      </c>
      <c r="C55">
        <v>8</v>
      </c>
    </row>
    <row r="56" spans="1:49" x14ac:dyDescent="0.3">
      <c r="A56" t="s">
        <v>306</v>
      </c>
      <c r="B56" s="28">
        <v>180.00116991240401</v>
      </c>
      <c r="C56">
        <v>20</v>
      </c>
    </row>
    <row r="57" spans="1:49" x14ac:dyDescent="0.3">
      <c r="A57" t="s">
        <v>307</v>
      </c>
      <c r="B57" s="28">
        <v>10.882708633726784</v>
      </c>
      <c r="C57">
        <v>8</v>
      </c>
      <c r="D57" t="s">
        <v>258</v>
      </c>
    </row>
    <row r="58" spans="1:49" x14ac:dyDescent="0.3">
      <c r="A58" t="s">
        <v>308</v>
      </c>
      <c r="B58" s="28">
        <v>10.019518090963629</v>
      </c>
      <c r="C58">
        <v>0</v>
      </c>
      <c r="D58" t="s">
        <v>266</v>
      </c>
    </row>
    <row r="59" spans="1:49" x14ac:dyDescent="0.3">
      <c r="A59" t="s">
        <v>309</v>
      </c>
      <c r="B59" s="29">
        <v>3.3984303029621042E-2</v>
      </c>
    </row>
  </sheetData>
  <phoneticPr fontId="1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16</vt:i4>
      </vt:variant>
    </vt:vector>
  </HeadingPairs>
  <TitlesOfParts>
    <vt:vector size="27" baseType="lpstr">
      <vt:lpstr>主页</vt:lpstr>
      <vt:lpstr>OpenDSS脚本指令集</vt:lpstr>
      <vt:lpstr>运行单位信息</vt:lpstr>
      <vt:lpstr>OpenDSS规则库</vt:lpstr>
      <vt:lpstr>线路参数库</vt:lpstr>
      <vt:lpstr>变压器参数库</vt:lpstr>
      <vt:lpstr>拓扑结构</vt:lpstr>
      <vt:lpstr>运行数据</vt:lpstr>
      <vt:lpstr>XY曲线库</vt:lpstr>
      <vt:lpstr>控制器</vt:lpstr>
      <vt:lpstr>计算结果</vt:lpstr>
      <vt:lpstr>XY曲线库!地市公司</vt:lpstr>
      <vt:lpstr>地市公司</vt:lpstr>
      <vt:lpstr>九江公司</vt:lpstr>
      <vt:lpstr>南昌公司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min sun</cp:lastModifiedBy>
  <dcterms:created xsi:type="dcterms:W3CDTF">2015-03-07T06:30:29Z</dcterms:created>
  <dcterms:modified xsi:type="dcterms:W3CDTF">2021-12-30T00:50:52Z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